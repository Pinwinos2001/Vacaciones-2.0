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eiway-my.sharepoint.com/personal/caldes06_heiway_net/Documents/Shadowing/07. Vacaciones/Query/"/>
    </mc:Choice>
  </mc:AlternateContent>
  <xr:revisionPtr revIDLastSave="80" documentId="13_ncr:1_{F72C15FC-67D1-43B3-906F-ABACB8D205E2}" xr6:coauthVersionLast="47" xr6:coauthVersionMax="47" xr10:uidLastSave="{D3B41B0E-6310-4C76-AEDC-CDCD9075536C}"/>
  <bookViews>
    <workbookView xWindow="-110" yWindow="-110" windowWidth="19420" windowHeight="10300" xr2:uid="{00000000-000D-0000-FFFF-FFFF00000000}"/>
  </bookViews>
  <sheets>
    <sheet name="Empleados" sheetId="2" r:id="rId1"/>
    <sheet name="Practicantes" sheetId="4" r:id="rId2"/>
  </sheets>
  <definedNames>
    <definedName name="_xlnm._FilterDatabase" localSheetId="0" hidden="1">Empleados!$B$6:$DG$212</definedName>
    <definedName name="_xlnm._FilterDatabase" localSheetId="1" hidden="1">Practicantes!$A$7:$AJ$34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3" i="4" l="1"/>
  <c r="AJ34" i="4" s="1"/>
  <c r="DG222" i="2"/>
  <c r="AV212" i="2"/>
  <c r="AW212" i="2"/>
  <c r="AX212" i="2"/>
  <c r="AY212" i="2"/>
  <c r="AZ212" i="2"/>
  <c r="BA212" i="2"/>
  <c r="BB212" i="2"/>
  <c r="BC212" i="2"/>
  <c r="BD212" i="2"/>
  <c r="BE212" i="2"/>
  <c r="BF212" i="2"/>
  <c r="BG212" i="2"/>
  <c r="BH212" i="2"/>
  <c r="BI212" i="2"/>
  <c r="BJ212" i="2"/>
  <c r="BK212" i="2"/>
  <c r="BL212" i="2"/>
  <c r="BM212" i="2"/>
  <c r="BN212" i="2"/>
  <c r="BO212" i="2"/>
  <c r="BP212" i="2"/>
  <c r="BQ212" i="2"/>
  <c r="BR212" i="2"/>
  <c r="BS212" i="2"/>
  <c r="BT212" i="2"/>
  <c r="BU212" i="2"/>
  <c r="BV212" i="2"/>
  <c r="BW212" i="2"/>
  <c r="BX212" i="2"/>
  <c r="BY212" i="2"/>
  <c r="BZ212" i="2"/>
  <c r="CA212" i="2"/>
  <c r="CB212" i="2"/>
  <c r="CC212" i="2"/>
  <c r="CD212" i="2"/>
  <c r="CE212" i="2"/>
  <c r="CF212" i="2"/>
  <c r="CG212" i="2"/>
  <c r="CH212" i="2"/>
  <c r="CI212" i="2"/>
  <c r="CJ212" i="2"/>
  <c r="CK212" i="2"/>
  <c r="CL212" i="2"/>
  <c r="CM212" i="2"/>
  <c r="CN212" i="2"/>
  <c r="CO212" i="2"/>
  <c r="CP212" i="2"/>
  <c r="CQ212" i="2"/>
  <c r="CR212" i="2"/>
  <c r="CS212" i="2"/>
  <c r="CT212" i="2"/>
  <c r="CU212" i="2"/>
  <c r="CV212" i="2"/>
  <c r="CW212" i="2"/>
  <c r="CX212" i="2"/>
  <c r="CY212" i="2"/>
  <c r="CZ212" i="2"/>
  <c r="DA212" i="2"/>
  <c r="DB212" i="2"/>
  <c r="DC212" i="2"/>
  <c r="DD212" i="2"/>
  <c r="DE212" i="2"/>
  <c r="DF212" i="2"/>
  <c r="DG212" i="2"/>
  <c r="AU212" i="2"/>
  <c r="AF38" i="4" l="1"/>
  <c r="AI34" i="4"/>
  <c r="AH34" i="4"/>
  <c r="AG34" i="4"/>
  <c r="AF34" i="4"/>
  <c r="AE34" i="4"/>
  <c r="AD34" i="4"/>
  <c r="AC34" i="4"/>
  <c r="AB34" i="4"/>
  <c r="AA34" i="4"/>
  <c r="Z34" i="4"/>
  <c r="Y34" i="4"/>
  <c r="X34" i="4"/>
  <c r="DG228" i="2"/>
  <c r="DG229" i="2"/>
  <c r="DG230" i="2"/>
  <c r="DG227" i="2"/>
  <c r="DG216" i="2"/>
  <c r="DG217" i="2"/>
  <c r="DG218" i="2"/>
  <c r="DG219" i="2"/>
  <c r="DG220" i="2"/>
  <c r="DG221" i="2"/>
  <c r="DG226" i="2"/>
  <c r="DG215" i="2"/>
  <c r="F220" i="2"/>
  <c r="DG231" i="2" l="1"/>
  <c r="DG223" i="2"/>
  <c r="AQ212" i="2" l="1"/>
  <c r="AR212" i="2"/>
  <c r="AT212" i="2"/>
  <c r="AS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F40" i="4" l="1"/>
  <c r="E42" i="4" l="1"/>
  <c r="B4" i="4" l="1"/>
</calcChain>
</file>

<file path=xl/sharedStrings.xml><?xml version="1.0" encoding="utf-8"?>
<sst xmlns="http://schemas.openxmlformats.org/spreadsheetml/2006/main" count="5786" uniqueCount="1803">
  <si>
    <t>Reporte de Nómina por Periodo</t>
  </si>
  <si>
    <t>N°</t>
  </si>
  <si>
    <t>UNIDAD</t>
  </si>
  <si>
    <t>CÓDIGO</t>
  </si>
  <si>
    <t>APELLIDO PATERNO</t>
  </si>
  <si>
    <t>APELLIDO MATERNO</t>
  </si>
  <si>
    <t>NOMBRES</t>
  </si>
  <si>
    <t>TIPO DE DOCUMENTO</t>
  </si>
  <si>
    <t>DNI/CEX</t>
  </si>
  <si>
    <t>SEXO</t>
  </si>
  <si>
    <t>F. NACIMIENTO</t>
  </si>
  <si>
    <t>PUESTO</t>
  </si>
  <si>
    <t>SEDE</t>
  </si>
  <si>
    <t>ÁREA</t>
  </si>
  <si>
    <t>CENTRO DE COSTOS</t>
  </si>
  <si>
    <t>DESC. CENTRO DE COSTO</t>
  </si>
  <si>
    <t>TIPO DE CONTRATO</t>
  </si>
  <si>
    <t>CALIFICACIÓN TRABAJADOR</t>
  </si>
  <si>
    <t>BANCO HABERES</t>
  </si>
  <si>
    <t>CÓDIGO CUENTA</t>
  </si>
  <si>
    <t>NÚMERO DE CUENTA</t>
  </si>
  <si>
    <t>AFP</t>
  </si>
  <si>
    <t>CUSPP</t>
  </si>
  <si>
    <t>FECHA DE INGRESO</t>
  </si>
  <si>
    <t>FECHA CESE</t>
  </si>
  <si>
    <t>MOTIVO CESE</t>
  </si>
  <si>
    <t>DIAS TRABAJADOS</t>
  </si>
  <si>
    <t>DIAS PAGO IMVAC</t>
  </si>
  <si>
    <t>DIAS DESC MEDICO (P)</t>
  </si>
  <si>
    <t>SUELDO BASICO</t>
  </si>
  <si>
    <t>ASIG. FAMILIAR TEORI</t>
  </si>
  <si>
    <t>HABER BASICO</t>
  </si>
  <si>
    <t>ASIGNACION FAMILIAR</t>
  </si>
  <si>
    <t>REM. VACACIONAL</t>
  </si>
  <si>
    <t>DESCANSO MEDICO</t>
  </si>
  <si>
    <t>GRATIFICAC.INTEGRAL</t>
  </si>
  <si>
    <t>ALIM PRINCIPAL DINERO</t>
  </si>
  <si>
    <t>MOVIL. COND TRABAJO</t>
  </si>
  <si>
    <t>CTS INTEGRAL</t>
  </si>
  <si>
    <t>ALIM PRINC. ESPECIE</t>
  </si>
  <si>
    <t>VALE POR CUMPLEAÑOS</t>
  </si>
  <si>
    <t>BONO CUMPLIM META</t>
  </si>
  <si>
    <t>TOTAL INGRESOS</t>
  </si>
  <si>
    <t>QUINCENA</t>
  </si>
  <si>
    <t>S.N.P.</t>
  </si>
  <si>
    <t>5TA CATEGORIA</t>
  </si>
  <si>
    <t>AFP FONDO PENSIONES</t>
  </si>
  <si>
    <t>AFP COMISION VARIAB.</t>
  </si>
  <si>
    <t>AFP SEGURO INVALIDEZ</t>
  </si>
  <si>
    <t>DSCTO EPS (F)</t>
  </si>
  <si>
    <t>PRESTAMO PERSONAL</t>
  </si>
  <si>
    <t>DESC VALE CUMPLEAÑOS</t>
  </si>
  <si>
    <t>TOTAL DESCUENTOS</t>
  </si>
  <si>
    <t>APORTE DE EPS</t>
  </si>
  <si>
    <t>SEG.COM.TR PENSION</t>
  </si>
  <si>
    <t>SEG.COM.T.R.SALUD</t>
  </si>
  <si>
    <t>SEGURO VIDA LEY</t>
  </si>
  <si>
    <t>NETO</t>
  </si>
  <si>
    <t>DNI</t>
  </si>
  <si>
    <t>M</t>
  </si>
  <si>
    <t>SALES</t>
  </si>
  <si>
    <t>10363201</t>
  </si>
  <si>
    <t>FIELDSALES - MIXED CHANNEL</t>
  </si>
  <si>
    <t>BANCO DE CREDITO DEL PERU S.A</t>
  </si>
  <si>
    <t>BIN</t>
  </si>
  <si>
    <t xml:space="preserve">BANCO BBVA PERÚ S.A </t>
  </si>
  <si>
    <t>F</t>
  </si>
  <si>
    <t>SUPPLY CHAIN</t>
  </si>
  <si>
    <t>10515001</t>
  </si>
  <si>
    <t xml:space="preserve">MAINTENANCE
</t>
  </si>
  <si>
    <t>FINANCE</t>
  </si>
  <si>
    <t>10192001</t>
  </si>
  <si>
    <t>PURCHASING</t>
  </si>
  <si>
    <t>AHS</t>
  </si>
  <si>
    <t>10760001</t>
  </si>
  <si>
    <t>HUMAN RESOURCES</t>
  </si>
  <si>
    <t>10332001</t>
  </si>
  <si>
    <t>TRADE MARKETING - MIXED CHANNEL</t>
  </si>
  <si>
    <t>10131201</t>
  </si>
  <si>
    <t>HR - BUSINESS PARTNERING</t>
  </si>
  <si>
    <t>10111001</t>
  </si>
  <si>
    <t>REPORTING AND ACCOUNTING</t>
  </si>
  <si>
    <t>CORPORATE, LEGAL &amp; AFFAIRES</t>
  </si>
  <si>
    <t>10530001</t>
  </si>
  <si>
    <t>BREWING MANAGEMENT</t>
  </si>
  <si>
    <t>GARCIA</t>
  </si>
  <si>
    <t>GUTIERREZ</t>
  </si>
  <si>
    <t>10195001</t>
  </si>
  <si>
    <t xml:space="preserve">LEGAL
</t>
  </si>
  <si>
    <t>CONCILIACIÓN DE NUMERO DE TRABAJADORES</t>
  </si>
  <si>
    <t>TOTAL TRABAJADORES MES ANTERIOR</t>
  </si>
  <si>
    <t>+ INGRESOS DEL MES</t>
  </si>
  <si>
    <t>- CESES DEL MES ANTERIOR</t>
  </si>
  <si>
    <t>+ TRASPASOS DE OTRA PLANILLA</t>
  </si>
  <si>
    <t>- TRASPASOS A OTRA PLANILLA</t>
  </si>
  <si>
    <t>TOTAL TRABAJADORES MES ACTUAL</t>
  </si>
  <si>
    <t>PAGADO</t>
  </si>
  <si>
    <t>SUBVENCION</t>
  </si>
  <si>
    <t>70657006</t>
  </si>
  <si>
    <t>GARCÍA</t>
  </si>
  <si>
    <t>JORGE LUIS</t>
  </si>
  <si>
    <t>00219310633827109216</t>
  </si>
  <si>
    <t>PRACTICANTE DE RECURSOS HUMANOS</t>
  </si>
  <si>
    <t>TXT PLANILLA</t>
  </si>
  <si>
    <t>DESCUENTO SEG. ONCO</t>
  </si>
  <si>
    <t>PLANILLA EMPLEADOS</t>
  </si>
  <si>
    <t>.</t>
  </si>
  <si>
    <t>NO APLICABLE</t>
  </si>
  <si>
    <t>RAMOS</t>
  </si>
  <si>
    <t>PLANILLA OBREROS</t>
  </si>
  <si>
    <t>10532002</t>
  </si>
  <si>
    <t xml:space="preserve">BREWHOUSE
</t>
  </si>
  <si>
    <t>MENDOZA</t>
  </si>
  <si>
    <t>10112301</t>
  </si>
  <si>
    <t>STRATEGIC BUSINESS CONTROL</t>
  </si>
  <si>
    <t>10191001</t>
  </si>
  <si>
    <t>JUAN CARLOS</t>
  </si>
  <si>
    <t>MORALES</t>
  </si>
  <si>
    <t>QUISPE</t>
  </si>
  <si>
    <t>DE LA CRUZ</t>
  </si>
  <si>
    <t>CARRANZA</t>
  </si>
  <si>
    <t>TRUJILLO</t>
  </si>
  <si>
    <t>10361101</t>
  </si>
  <si>
    <t>SALES CHANNEL MANAGEMENT - OFF TRADE</t>
  </si>
  <si>
    <t>SENATI</t>
  </si>
  <si>
    <t>TOTAL APORTACIONES</t>
  </si>
  <si>
    <t>PLANILLA EJECUTIVOS</t>
  </si>
  <si>
    <t xml:space="preserve">BANCO DE LA NACION                                                                                  </t>
  </si>
  <si>
    <t>VILLANUEVA</t>
  </si>
  <si>
    <t>SURCO</t>
  </si>
  <si>
    <t>NOMINA</t>
  </si>
  <si>
    <t>RELATIONS</t>
  </si>
  <si>
    <t>MIRAFLORES - LIMA</t>
  </si>
  <si>
    <t>PRACTICANTES</t>
  </si>
  <si>
    <t>PLANILLA PRACTICANTES</t>
  </si>
  <si>
    <t>CONVENIO DE PRACTICAS PRE PROFESIONALES</t>
  </si>
  <si>
    <t>CONVENIO DE PRACTICAS PROFESIONALES</t>
  </si>
  <si>
    <t>BANCO INTERNACIONAL DEL PERU S.A.A - INTERBANK</t>
  </si>
  <si>
    <t>SCOTIABANK PERU SAA</t>
  </si>
  <si>
    <t>ESSALUD</t>
  </si>
  <si>
    <t>72451750</t>
  </si>
  <si>
    <t>70748762</t>
  </si>
  <si>
    <t>APRENDIZ. CON PREDOM. EN CFP -PRACT PRE PROF</t>
  </si>
  <si>
    <t>MAURICIO</t>
  </si>
  <si>
    <t>GONZALO AURELIO</t>
  </si>
  <si>
    <t>CASTILLO</t>
  </si>
  <si>
    <t>MELANY</t>
  </si>
  <si>
    <t>00219119705113004359</t>
  </si>
  <si>
    <t>HOUSING ALLOWANCE</t>
  </si>
  <si>
    <t>BONO GROSS UP</t>
  </si>
  <si>
    <t>RACIONES</t>
  </si>
  <si>
    <t>DSCTO RACIONES</t>
  </si>
  <si>
    <t>BONIF EXTRA. L.30334 (I)</t>
  </si>
  <si>
    <t>PLANILLA EXPATRIADOS</t>
  </si>
  <si>
    <t>ANTONIO</t>
  </si>
  <si>
    <t>PRES SALUD</t>
  </si>
  <si>
    <t>PRESTAMO VACACIONES</t>
  </si>
  <si>
    <t>TERRAZ</t>
  </si>
  <si>
    <t>FRANCO ALONSO</t>
  </si>
  <si>
    <t>70818203</t>
  </si>
  <si>
    <t>00219119105582808251</t>
  </si>
  <si>
    <t>BANCO FALABELLA PERU S.A</t>
  </si>
  <si>
    <t>MODERN TRADE INTERN</t>
  </si>
  <si>
    <t># HRS EXTRAS SIMP.25%</t>
  </si>
  <si>
    <t># HRS EXTRAS SIMP.35%</t>
  </si>
  <si>
    <t>HORAS EXTRAS 25%</t>
  </si>
  <si>
    <t>HORAS EXTRAS 35%</t>
  </si>
  <si>
    <t>BONO TURNO NOCHE</t>
  </si>
  <si>
    <t>BONO TURNO TARDE</t>
  </si>
  <si>
    <t>SALAS</t>
  </si>
  <si>
    <t>JHONG</t>
  </si>
  <si>
    <t>NAYKIE ANTONELLA</t>
  </si>
  <si>
    <t>71121088</t>
  </si>
  <si>
    <t>PRACTICANTE DE TRADE SUPPORT</t>
  </si>
  <si>
    <t>00389801333978027943</t>
  </si>
  <si>
    <t>72019783</t>
  </si>
  <si>
    <t>PAREDES</t>
  </si>
  <si>
    <t>JOAV FARID</t>
  </si>
  <si>
    <t>72608016</t>
  </si>
  <si>
    <t>DUARTE</t>
  </si>
  <si>
    <t>IGNACIO</t>
  </si>
  <si>
    <t>PRACTICANTE DE VENTAS</t>
  </si>
  <si>
    <t>60789425</t>
  </si>
  <si>
    <t>ZEGARRA</t>
  </si>
  <si>
    <t>CESAR JAIR</t>
  </si>
  <si>
    <t>00235510725718202360</t>
  </si>
  <si>
    <t>00219117943228102557</t>
  </si>
  <si>
    <t>EMPLEADOS</t>
  </si>
  <si>
    <t>10114609</t>
  </si>
  <si>
    <t>08639472</t>
  </si>
  <si>
    <t>41214974</t>
  </si>
  <si>
    <t>70355738</t>
  </si>
  <si>
    <t>45624321</t>
  </si>
  <si>
    <t>09445027</t>
  </si>
  <si>
    <t>06589375</t>
  </si>
  <si>
    <t>42030385</t>
  </si>
  <si>
    <t>42265487</t>
  </si>
  <si>
    <t>48779733</t>
  </si>
  <si>
    <t>76400849</t>
  </si>
  <si>
    <t>71479648</t>
  </si>
  <si>
    <t>41314618</t>
  </si>
  <si>
    <t>73010424</t>
  </si>
  <si>
    <t>70510557</t>
  </si>
  <si>
    <t>45471286</t>
  </si>
  <si>
    <t>71446065</t>
  </si>
  <si>
    <t>47181093</t>
  </si>
  <si>
    <t>72257520</t>
  </si>
  <si>
    <t>40857426</t>
  </si>
  <si>
    <t>71705483</t>
  </si>
  <si>
    <t>74067455</t>
  </si>
  <si>
    <t>42099693</t>
  </si>
  <si>
    <t>76461022</t>
  </si>
  <si>
    <t>73302512</t>
  </si>
  <si>
    <t>44248913</t>
  </si>
  <si>
    <t>70006292</t>
  </si>
  <si>
    <t>74053436</t>
  </si>
  <si>
    <t>41984215</t>
  </si>
  <si>
    <t>29721753</t>
  </si>
  <si>
    <t>47968214</t>
  </si>
  <si>
    <t>41352377</t>
  </si>
  <si>
    <t>74287903</t>
  </si>
  <si>
    <t>05320988</t>
  </si>
  <si>
    <t>41324289</t>
  </si>
  <si>
    <t>42863817</t>
  </si>
  <si>
    <t>47960486</t>
  </si>
  <si>
    <t>25770310</t>
  </si>
  <si>
    <t>75840965</t>
  </si>
  <si>
    <t>41429215</t>
  </si>
  <si>
    <t>42431291</t>
  </si>
  <si>
    <t>10602178</t>
  </si>
  <si>
    <t>74035328</t>
  </si>
  <si>
    <t>73806688</t>
  </si>
  <si>
    <t>71657246</t>
  </si>
  <si>
    <t>47603164</t>
  </si>
  <si>
    <t>40741589</t>
  </si>
  <si>
    <t>42842426</t>
  </si>
  <si>
    <t>006022330</t>
  </si>
  <si>
    <t>42192231</t>
  </si>
  <si>
    <t>07640078</t>
  </si>
  <si>
    <t>47159053</t>
  </si>
  <si>
    <t>02866189</t>
  </si>
  <si>
    <t>74022077</t>
  </si>
  <si>
    <t>70448059</t>
  </si>
  <si>
    <t>46600538</t>
  </si>
  <si>
    <t>32957017</t>
  </si>
  <si>
    <t>75818001</t>
  </si>
  <si>
    <t>25717623</t>
  </si>
  <si>
    <t>41425326</t>
  </si>
  <si>
    <t>40735168</t>
  </si>
  <si>
    <t>73182522</t>
  </si>
  <si>
    <t>48276587</t>
  </si>
  <si>
    <t>46335039</t>
  </si>
  <si>
    <t>44332793</t>
  </si>
  <si>
    <t>70825198</t>
  </si>
  <si>
    <t>09087335</t>
  </si>
  <si>
    <t>10561517</t>
  </si>
  <si>
    <t>74096545</t>
  </si>
  <si>
    <t>44986209</t>
  </si>
  <si>
    <t>73247944</t>
  </si>
  <si>
    <t>42742459</t>
  </si>
  <si>
    <t>73090483</t>
  </si>
  <si>
    <t>72159580</t>
  </si>
  <si>
    <t>42614065</t>
  </si>
  <si>
    <t>71851588</t>
  </si>
  <si>
    <t>70800182</t>
  </si>
  <si>
    <t>16002785</t>
  </si>
  <si>
    <t>71963031</t>
  </si>
  <si>
    <t>70438619</t>
  </si>
  <si>
    <t>10195497</t>
  </si>
  <si>
    <t>70389817</t>
  </si>
  <si>
    <t>006067950</t>
  </si>
  <si>
    <t>07582560</t>
  </si>
  <si>
    <t>77683549</t>
  </si>
  <si>
    <t>00547690</t>
  </si>
  <si>
    <t>73993581</t>
  </si>
  <si>
    <t>40931428</t>
  </si>
  <si>
    <t>70449492</t>
  </si>
  <si>
    <t>47609333</t>
  </si>
  <si>
    <t>76467805</t>
  </si>
  <si>
    <t>40209887</t>
  </si>
  <si>
    <t>70046488</t>
  </si>
  <si>
    <t>47276289</t>
  </si>
  <si>
    <t>72055714</t>
  </si>
  <si>
    <t>71247115</t>
  </si>
  <si>
    <t>40744272</t>
  </si>
  <si>
    <t>72534866</t>
  </si>
  <si>
    <t>45166592</t>
  </si>
  <si>
    <t>45654842</t>
  </si>
  <si>
    <t>46089258</t>
  </si>
  <si>
    <t>73149005</t>
  </si>
  <si>
    <t>48270888</t>
  </si>
  <si>
    <t>07622998</t>
  </si>
  <si>
    <t>70611889</t>
  </si>
  <si>
    <t>76359547</t>
  </si>
  <si>
    <t>44274371</t>
  </si>
  <si>
    <t>72808846</t>
  </si>
  <si>
    <t>72529700</t>
  </si>
  <si>
    <t>07734099</t>
  </si>
  <si>
    <t>75894936</t>
  </si>
  <si>
    <t>40116654</t>
  </si>
  <si>
    <t>40415102</t>
  </si>
  <si>
    <t>40660288</t>
  </si>
  <si>
    <t>40544069</t>
  </si>
  <si>
    <t>08169691</t>
  </si>
  <si>
    <t>09225205</t>
  </si>
  <si>
    <t>70649695</t>
  </si>
  <si>
    <t>42842975</t>
  </si>
  <si>
    <t>43684713</t>
  </si>
  <si>
    <t>74853995</t>
  </si>
  <si>
    <t>75852275</t>
  </si>
  <si>
    <t>08793647</t>
  </si>
  <si>
    <t>42018728</t>
  </si>
  <si>
    <t>72897126</t>
  </si>
  <si>
    <t>74853604</t>
  </si>
  <si>
    <t>70504076</t>
  </si>
  <si>
    <t>41092598</t>
  </si>
  <si>
    <t>25700835</t>
  </si>
  <si>
    <t>72860515</t>
  </si>
  <si>
    <t>AGUILAR</t>
  </si>
  <si>
    <t>JESSICA FLOR</t>
  </si>
  <si>
    <t>DESARROLLADOR DE VENTAS - OFF TRADE</t>
  </si>
  <si>
    <t>10363101</t>
  </si>
  <si>
    <t>FIELDSALES - OFF TRADE</t>
  </si>
  <si>
    <t>AGUIRRE</t>
  </si>
  <si>
    <t>PEREZ</t>
  </si>
  <si>
    <t>ALFREDO</t>
  </si>
  <si>
    <t>ASISTENTE DE MANTENIMIENTO</t>
  </si>
  <si>
    <t>HUACHIPA</t>
  </si>
  <si>
    <t>10519001</t>
  </si>
  <si>
    <t>OTHER PRODUCTION</t>
  </si>
  <si>
    <t>FERNANDO</t>
  </si>
  <si>
    <t>RIVERA</t>
  </si>
  <si>
    <t>ALEGRÍA</t>
  </si>
  <si>
    <t>BARRIGA</t>
  </si>
  <si>
    <t>IVAN HUSSEIN</t>
  </si>
  <si>
    <t>ALEGRIA</t>
  </si>
  <si>
    <t>RIVAS</t>
  </si>
  <si>
    <t>RENZO</t>
  </si>
  <si>
    <t>PROCUREMENT MANAGER</t>
  </si>
  <si>
    <t>ALIAGA</t>
  </si>
  <si>
    <t>BASALDUA</t>
  </si>
  <si>
    <t>JESUS ABRAHAM</t>
  </si>
  <si>
    <t>SHIFT LEADER</t>
  </si>
  <si>
    <t>ALMANDOZ</t>
  </si>
  <si>
    <t>REMY</t>
  </si>
  <si>
    <t>DESARROLLADOR DE VENTAS - ON TRADE</t>
  </si>
  <si>
    <t>10363001</t>
  </si>
  <si>
    <t>FIELDSALES - ON TRADE</t>
  </si>
  <si>
    <t>ALVARADO</t>
  </si>
  <si>
    <t>CENTURION</t>
  </si>
  <si>
    <t>VALDEMAR AMERICO</t>
  </si>
  <si>
    <t>EVENTS SPECIALIST</t>
  </si>
  <si>
    <t>ALVAREZ</t>
  </si>
  <si>
    <t>TALAVERA</t>
  </si>
  <si>
    <t>CRISTIAN DASSIEL</t>
  </si>
  <si>
    <t>VERAMENDI</t>
  </si>
  <si>
    <t>VANESSA ELIZABETH</t>
  </si>
  <si>
    <t>COORDINADOR DE CALIDAD</t>
  </si>
  <si>
    <t>10512001</t>
  </si>
  <si>
    <t>QUALITY CONTROL</t>
  </si>
  <si>
    <t>ANDRADE</t>
  </si>
  <si>
    <t>SOLARI</t>
  </si>
  <si>
    <t>STEPHANIE CYBILL</t>
  </si>
  <si>
    <t>DEMAND PLANNER</t>
  </si>
  <si>
    <t>10517001</t>
  </si>
  <si>
    <t>PRODUCTION PLANNING</t>
  </si>
  <si>
    <t>ARANGO</t>
  </si>
  <si>
    <t>CÁCERES</t>
  </si>
  <si>
    <t>ROGER ELISEO</t>
  </si>
  <si>
    <t xml:space="preserve">OPERARIO DE PRODUCCIÓN </t>
  </si>
  <si>
    <t>LOPEZ</t>
  </si>
  <si>
    <t>BUSINESS CONTROLLER COORDINATOR</t>
  </si>
  <si>
    <t>ARCE</t>
  </si>
  <si>
    <t>ORTIZ</t>
  </si>
  <si>
    <t>LUIS ARCE</t>
  </si>
  <si>
    <t>MAINTENANCE ENGINEER</t>
  </si>
  <si>
    <t>10361201</t>
  </si>
  <si>
    <t>SALES CHANNEL MANAGEMENT - MIXED CHANNEL</t>
  </si>
  <si>
    <t>ARISTA</t>
  </si>
  <si>
    <t>MORAN</t>
  </si>
  <si>
    <t>JIMMY JOSE</t>
  </si>
  <si>
    <t>SANCHEZ</t>
  </si>
  <si>
    <t>ASENJO</t>
  </si>
  <si>
    <t>ARAGON</t>
  </si>
  <si>
    <t>BERTHA ELIZABETH</t>
  </si>
  <si>
    <t>SR. CUSTOMER SERVICES &amp; DISTRIBUTION ANALYST</t>
  </si>
  <si>
    <t>BACIGALUPO</t>
  </si>
  <si>
    <t>CARRILLO</t>
  </si>
  <si>
    <t>CLAUDIA ISABEL</t>
  </si>
  <si>
    <t>10366101</t>
  </si>
  <si>
    <t>KEY ACCOUNT MANAGEMENT - OFF TRADE</t>
  </si>
  <si>
    <t>BARRETO</t>
  </si>
  <si>
    <t>PORTOCARRERO</t>
  </si>
  <si>
    <t>GIANFRANCO</t>
  </si>
  <si>
    <t>DIRECTOR DE VENTAS</t>
  </si>
  <si>
    <t>10310001</t>
  </si>
  <si>
    <t>SALES GENERAL</t>
  </si>
  <si>
    <t>10331001</t>
  </si>
  <si>
    <t>TRADE MARKETING - ON TRADE</t>
  </si>
  <si>
    <t>ESPINOZA</t>
  </si>
  <si>
    <t>DESARROLLADOR DE VENTAS OFF RETEN</t>
  </si>
  <si>
    <t>PROCESS ENGINEER</t>
  </si>
  <si>
    <t>BOLIVAR</t>
  </si>
  <si>
    <t>KENNY ENRIQUE</t>
  </si>
  <si>
    <t>LOGISTIC MANAGER</t>
  </si>
  <si>
    <t>BRAÑES</t>
  </si>
  <si>
    <t>CHANCO</t>
  </si>
  <si>
    <t>OSCAR SANTIAGO</t>
  </si>
  <si>
    <t>BRAVO</t>
  </si>
  <si>
    <t>ANA PAULA</t>
  </si>
  <si>
    <t>COORDINADORA DE ROUTE TO MARKET</t>
  </si>
  <si>
    <t>MORENO</t>
  </si>
  <si>
    <t>DESARROLLADOR DE VENTAS OFF</t>
  </si>
  <si>
    <t>BURGA</t>
  </si>
  <si>
    <t>CABELLOS</t>
  </si>
  <si>
    <t>CABEZUDO</t>
  </si>
  <si>
    <t>DESARROLLADOR DE VENTAS ON RETEN</t>
  </si>
  <si>
    <t>CACERES</t>
  </si>
  <si>
    <t>JHONER GERARDO</t>
  </si>
  <si>
    <t>OPERADOR DE PRODUCCIÓN</t>
  </si>
  <si>
    <t>CALDERON</t>
  </si>
  <si>
    <t>HUAMAN</t>
  </si>
  <si>
    <t>SHANTAL STEPHANY</t>
  </si>
  <si>
    <t>10130501</t>
  </si>
  <si>
    <t>PAYROLL</t>
  </si>
  <si>
    <t>LUIS ALBERTO</t>
  </si>
  <si>
    <t>CAMARA</t>
  </si>
  <si>
    <t>BARRIENDOS</t>
  </si>
  <si>
    <t>FREDY</t>
  </si>
  <si>
    <t>CAMPOS</t>
  </si>
  <si>
    <t>ARMAS</t>
  </si>
  <si>
    <t>ANYELA ESTEFANI</t>
  </si>
  <si>
    <t>MARCO ANTONIO</t>
  </si>
  <si>
    <t>CAO</t>
  </si>
  <si>
    <t>ROMANI</t>
  </si>
  <si>
    <t>PABLO CAM JOY</t>
  </si>
  <si>
    <t>CARDENAS</t>
  </si>
  <si>
    <t>CARPIO</t>
  </si>
  <si>
    <t>EDUARDO HERNAN</t>
  </si>
  <si>
    <t>COORDINADOR COMERCIAL CUSCO</t>
  </si>
  <si>
    <t>MORA</t>
  </si>
  <si>
    <t>GLORIA ALEJANDRA</t>
  </si>
  <si>
    <t>SUSTAINABILITY &amp; CSR LEAD</t>
  </si>
  <si>
    <t>CA &amp; CSR</t>
  </si>
  <si>
    <t>CARHUAS</t>
  </si>
  <si>
    <t>ESPADA</t>
  </si>
  <si>
    <t>LORENA YANET</t>
  </si>
  <si>
    <t>CARMONA</t>
  </si>
  <si>
    <t>LEÓN</t>
  </si>
  <si>
    <t>JUNIOR ALEXIS</t>
  </si>
  <si>
    <t>CASAS</t>
  </si>
  <si>
    <t>CAYO</t>
  </si>
  <si>
    <t>CARLOS ALBERTO</t>
  </si>
  <si>
    <t>TÉCNICO DE SERVICIOS INDUSTRIALES SR</t>
  </si>
  <si>
    <t>10571002</t>
  </si>
  <si>
    <t xml:space="preserve">ENERGY UTILITIES
</t>
  </si>
  <si>
    <t>CCOLLANQUI</t>
  </si>
  <si>
    <t>WILLIAMS</t>
  </si>
  <si>
    <t>CELESTINO</t>
  </si>
  <si>
    <t>ALBORNOZ</t>
  </si>
  <si>
    <t>LIZETH ELVIRA</t>
  </si>
  <si>
    <t>CELIS</t>
  </si>
  <si>
    <t>VARA</t>
  </si>
  <si>
    <t>MIGUEL ANGEL</t>
  </si>
  <si>
    <t>TECNICO DE MANTENIMIENTO</t>
  </si>
  <si>
    <t>CHAVEZ</t>
  </si>
  <si>
    <t>VASQUEZ</t>
  </si>
  <si>
    <t>JUAN ARTEMIO</t>
  </si>
  <si>
    <t>CHICOMA</t>
  </si>
  <si>
    <t>FIDEL ANTONIO</t>
  </si>
  <si>
    <t>CEX</t>
  </si>
  <si>
    <t>CONTRERAS</t>
  </si>
  <si>
    <t>TELLES</t>
  </si>
  <si>
    <t>MARIA EUGENIA</t>
  </si>
  <si>
    <t>10510001</t>
  </si>
  <si>
    <t>PRODUCTION MANAGEMENT</t>
  </si>
  <si>
    <t>CORDERO</t>
  </si>
  <si>
    <t>JHERSON ROGER</t>
  </si>
  <si>
    <t>REYES</t>
  </si>
  <si>
    <t>CORONEL</t>
  </si>
  <si>
    <t>TORO</t>
  </si>
  <si>
    <t>YESSICA ERIKA</t>
  </si>
  <si>
    <t>DIGITAL &amp; TECHNOLOGY LEAD</t>
  </si>
  <si>
    <t>10141001</t>
  </si>
  <si>
    <t>IT GENERAL MANAGEMENT</t>
  </si>
  <si>
    <t>COSTILLA</t>
  </si>
  <si>
    <t>TAN</t>
  </si>
  <si>
    <t>SERGIO DAVID</t>
  </si>
  <si>
    <t>ANALISTA JUNIOR DE BI</t>
  </si>
  <si>
    <t>10331501</t>
  </si>
  <si>
    <t>TRADE MARKETING - OFF TRADE</t>
  </si>
  <si>
    <t>CRUZ</t>
  </si>
  <si>
    <t>YARLEQUE</t>
  </si>
  <si>
    <t>GUILLERMO DAVID</t>
  </si>
  <si>
    <t>CUAYLA</t>
  </si>
  <si>
    <t>MARCA</t>
  </si>
  <si>
    <t>ERICK EDUARDO</t>
  </si>
  <si>
    <t>PRODUCTION &amp; ENGINEERING MANAGER</t>
  </si>
  <si>
    <t>CUELLAR</t>
  </si>
  <si>
    <t>PARIONA</t>
  </si>
  <si>
    <t>JOSE LUIS</t>
  </si>
  <si>
    <t>TÉCNICO DE SERVICIOS INDUSTRIALES</t>
  </si>
  <si>
    <t>ANALISTA DE CALIDAD</t>
  </si>
  <si>
    <t>JARAMILLO</t>
  </si>
  <si>
    <t>DEIVID KEVIN</t>
  </si>
  <si>
    <t>TÉCNICO DE MANTENIMIENTO</t>
  </si>
  <si>
    <t>DEL CARPIO</t>
  </si>
  <si>
    <t>DESARROLLADOR DE VENTAS ESPECIALIZADO ON</t>
  </si>
  <si>
    <t>DIAZ</t>
  </si>
  <si>
    <t>ALAYA</t>
  </si>
  <si>
    <t>VIERI LEONARDO</t>
  </si>
  <si>
    <t>SHE SPECIALIST</t>
  </si>
  <si>
    <t>10170001</t>
  </si>
  <si>
    <t xml:space="preserve">SAFETY AND SECURITY
</t>
  </si>
  <si>
    <t>APPIANI</t>
  </si>
  <si>
    <t>SEBASTIAN FRANCISCO</t>
  </si>
  <si>
    <t>GIRALDO</t>
  </si>
  <si>
    <t>DIDIER ALBERTO</t>
  </si>
  <si>
    <t>LOAYZA</t>
  </si>
  <si>
    <t>DONGO</t>
  </si>
  <si>
    <t>GIULIANA ZENNY</t>
  </si>
  <si>
    <t>Brand International Manager &amp; MKT Services</t>
  </si>
  <si>
    <t>MARKETING</t>
  </si>
  <si>
    <t>10320001</t>
  </si>
  <si>
    <t>MARKETING GENERAL</t>
  </si>
  <si>
    <t>ELCHENKO</t>
  </si>
  <si>
    <t>X</t>
  </si>
  <si>
    <t>IULIIA</t>
  </si>
  <si>
    <t>DIRECTORA DE MARKETING</t>
  </si>
  <si>
    <t>EPIQUIEN</t>
  </si>
  <si>
    <t>BECKER LUIS</t>
  </si>
  <si>
    <t>MAINTENANCE &amp; UTILITIES LEAD</t>
  </si>
  <si>
    <t>ESPINAL</t>
  </si>
  <si>
    <t>RAMPAS</t>
  </si>
  <si>
    <t>CARLOS ENRIQUE</t>
  </si>
  <si>
    <t>FARROÑAY</t>
  </si>
  <si>
    <t>BARRANTES</t>
  </si>
  <si>
    <t>CARLOS EFRAIN</t>
  </si>
  <si>
    <t>FUJIHARA</t>
  </si>
  <si>
    <t>FUJIMAKI</t>
  </si>
  <si>
    <t>DIRECTOR DE SUPPLY CHAIN</t>
  </si>
  <si>
    <t>ZAPATA</t>
  </si>
  <si>
    <t>GOMEZ</t>
  </si>
  <si>
    <t>SENIOR BUYER</t>
  </si>
  <si>
    <t>PROCUREMENT</t>
  </si>
  <si>
    <t>GONZALEZ</t>
  </si>
  <si>
    <t>HERRERA</t>
  </si>
  <si>
    <t>ANDREA VERONICA</t>
  </si>
  <si>
    <t>COLD CAPACITY ANALYST</t>
  </si>
  <si>
    <t>JAUSLIN</t>
  </si>
  <si>
    <t>CAMILA ALEXANDRA</t>
  </si>
  <si>
    <t>GUARDAMINO</t>
  </si>
  <si>
    <t>OLIVARES</t>
  </si>
  <si>
    <t>GERARDO MANUEL</t>
  </si>
  <si>
    <t>CABANILLAS</t>
  </si>
  <si>
    <t>JESUS SANTOS</t>
  </si>
  <si>
    <t>OPERADOR DE PRODUCCION SR</t>
  </si>
  <si>
    <t>VERGARAY</t>
  </si>
  <si>
    <t>MANAGEMENT</t>
  </si>
  <si>
    <t>10100001</t>
  </si>
  <si>
    <t>GENERAL MANAGEMENT</t>
  </si>
  <si>
    <t>HARO</t>
  </si>
  <si>
    <t>TÉCNICO DE MANTENIMIENTO SR</t>
  </si>
  <si>
    <t>HENRIQUEZ</t>
  </si>
  <si>
    <t>HIDALGO</t>
  </si>
  <si>
    <t>WILFREDO MANUEL</t>
  </si>
  <si>
    <t>AURIS</t>
  </si>
  <si>
    <t>MOGOLLON</t>
  </si>
  <si>
    <t>FABRIZIO</t>
  </si>
  <si>
    <t>HICHCAS</t>
  </si>
  <si>
    <t>JAVIER</t>
  </si>
  <si>
    <t>HINOSTROZA</t>
  </si>
  <si>
    <t>PACHECO</t>
  </si>
  <si>
    <t>HENRY JAVIER</t>
  </si>
  <si>
    <t>HUARINGA</t>
  </si>
  <si>
    <t>OLIHUA</t>
  </si>
  <si>
    <t>LUIS RONY</t>
  </si>
  <si>
    <t>HUAYTA</t>
  </si>
  <si>
    <t>BRICEÑO</t>
  </si>
  <si>
    <t>JOSEPH DERLIS</t>
  </si>
  <si>
    <t>HUINCHO</t>
  </si>
  <si>
    <t>TICONA</t>
  </si>
  <si>
    <t>PABLO</t>
  </si>
  <si>
    <t>JARA</t>
  </si>
  <si>
    <t>AGURTO</t>
  </si>
  <si>
    <t>EVANS CRISTHIAN</t>
  </si>
  <si>
    <t>PEREDA</t>
  </si>
  <si>
    <t>LUIS PAOLO</t>
  </si>
  <si>
    <t>ANALISTA JR. DE SHE</t>
  </si>
  <si>
    <t>JIMENEZ</t>
  </si>
  <si>
    <t>10113001</t>
  </si>
  <si>
    <t>OTHER FINANCIAL SERVICES</t>
  </si>
  <si>
    <t>MARTINEZ</t>
  </si>
  <si>
    <t>ALEJANDRA MARIA</t>
  </si>
  <si>
    <t>PEOPLE &amp; CORPORATE AFFAIRS MANAGER</t>
  </si>
  <si>
    <t>10131101</t>
  </si>
  <si>
    <t>HR FUNCTIONAL MANAGEMENT</t>
  </si>
  <si>
    <t>LA PUENTE</t>
  </si>
  <si>
    <t>RAMIREZ</t>
  </si>
  <si>
    <t>CRISTINA ALEJANDRA</t>
  </si>
  <si>
    <t>COORDINADORA DE MARKETING</t>
  </si>
  <si>
    <t>LEONARDO</t>
  </si>
  <si>
    <t>IVAN ANTONIO</t>
  </si>
  <si>
    <t>VARGAS</t>
  </si>
  <si>
    <t>SHAPIAMA</t>
  </si>
  <si>
    <t>DANIEL EDUARDO</t>
  </si>
  <si>
    <t>SENIOR REVENUE MANAGEMENT ANALYST</t>
  </si>
  <si>
    <t>TORRES</t>
  </si>
  <si>
    <t>LOZANO</t>
  </si>
  <si>
    <t>RUIZ</t>
  </si>
  <si>
    <t>JHONN CLINTON</t>
  </si>
  <si>
    <t>LEDESMA</t>
  </si>
  <si>
    <t>MARCOS</t>
  </si>
  <si>
    <t>PABLO CESAR</t>
  </si>
  <si>
    <t>DESARROLLADOR DE VENTAS</t>
  </si>
  <si>
    <t>VELIZ</t>
  </si>
  <si>
    <t>RODRIGO</t>
  </si>
  <si>
    <t>REVENUE MANAGEMENT LEAD</t>
  </si>
  <si>
    <t>MEDINA</t>
  </si>
  <si>
    <t>RENATA JHOANA</t>
  </si>
  <si>
    <t>SUPPLY PLANNER</t>
  </si>
  <si>
    <t>MEJIA</t>
  </si>
  <si>
    <t>PALOMINO</t>
  </si>
  <si>
    <t>ARTHUR ANTHUNEZ DSTEFANO</t>
  </si>
  <si>
    <t>ELIAS HECTOR</t>
  </si>
  <si>
    <t>PONCE</t>
  </si>
  <si>
    <t>MERINO</t>
  </si>
  <si>
    <t>MARY ELENA</t>
  </si>
  <si>
    <t>KAHN</t>
  </si>
  <si>
    <t>JULIAN</t>
  </si>
  <si>
    <t>SALES MANAGER PROVINCIAS ARCA</t>
  </si>
  <si>
    <t>PINEDA</t>
  </si>
  <si>
    <t>RAUL FELIPE</t>
  </si>
  <si>
    <t>MOSQUITO</t>
  </si>
  <si>
    <t>GUILLEN</t>
  </si>
  <si>
    <t>RAY MARK</t>
  </si>
  <si>
    <t>INNOVATION &amp; PROJECTS LEAD</t>
  </si>
  <si>
    <t>MUÑOZ</t>
  </si>
  <si>
    <t>VINUEZA</t>
  </si>
  <si>
    <t>BORIS IVAN</t>
  </si>
  <si>
    <t>DIRECTOR DE FINANZAS</t>
  </si>
  <si>
    <t>10110001</t>
  </si>
  <si>
    <t>FINANCE - GENERAL</t>
  </si>
  <si>
    <t>NINACEVICH</t>
  </si>
  <si>
    <t>CAMARGO</t>
  </si>
  <si>
    <t>RICARDO MARTIN</t>
  </si>
  <si>
    <t>NUNJAR</t>
  </si>
  <si>
    <t>MALLQUI</t>
  </si>
  <si>
    <t>JHON ADAMMS</t>
  </si>
  <si>
    <t>OSPINA</t>
  </si>
  <si>
    <t>DELGADO</t>
  </si>
  <si>
    <t>JUAN PABLO</t>
  </si>
  <si>
    <t>000547690</t>
  </si>
  <si>
    <t>PINCO</t>
  </si>
  <si>
    <t>MENDO</t>
  </si>
  <si>
    <t>JOHN EDUART</t>
  </si>
  <si>
    <t>PINTO</t>
  </si>
  <si>
    <t>CRISTOPHER JESUS</t>
  </si>
  <si>
    <t>POLAR</t>
  </si>
  <si>
    <t>ARIAS</t>
  </si>
  <si>
    <t>RAFAELA ALEJANDRA</t>
  </si>
  <si>
    <t>PASTOR</t>
  </si>
  <si>
    <t>JUAN JIMY</t>
  </si>
  <si>
    <t>VERA</t>
  </si>
  <si>
    <t>NICOLAS KAORO</t>
  </si>
  <si>
    <t>WAREHOUSE COORDINATOR</t>
  </si>
  <si>
    <t>QUEVEDO</t>
  </si>
  <si>
    <t>QUIROZ</t>
  </si>
  <si>
    <t>RICARDO MANUEL</t>
  </si>
  <si>
    <t>QUINTANA</t>
  </si>
  <si>
    <t>RODRIGO MARTIN</t>
  </si>
  <si>
    <t>FARFAN</t>
  </si>
  <si>
    <t>JUAN ANTONIO</t>
  </si>
  <si>
    <t>BERAUN</t>
  </si>
  <si>
    <t>ANDRES MARLIO</t>
  </si>
  <si>
    <t>LLONTOP</t>
  </si>
  <si>
    <t>RENATO JOSE</t>
  </si>
  <si>
    <t>SALES LEAD PROVINCIAS NORTE</t>
  </si>
  <si>
    <t>DANY WILLIANS</t>
  </si>
  <si>
    <t>MARIA ALEXANDRA</t>
  </si>
  <si>
    <t>FLORES</t>
  </si>
  <si>
    <t>ENRIQUE</t>
  </si>
  <si>
    <t>RODRIGUEZ</t>
  </si>
  <si>
    <t>CABALLERO</t>
  </si>
  <si>
    <t>JEFERSON MAX</t>
  </si>
  <si>
    <t>ROJAS</t>
  </si>
  <si>
    <t>IPARRAGUIRRE</t>
  </si>
  <si>
    <t>UZURIAGA</t>
  </si>
  <si>
    <t>JAVIER FERNANDO</t>
  </si>
  <si>
    <t>ROSAS</t>
  </si>
  <si>
    <t>DIEGO ANTONIO</t>
  </si>
  <si>
    <t>ANALISTA DE ALMACÉN</t>
  </si>
  <si>
    <t>BERNAL</t>
  </si>
  <si>
    <t>PRADINET</t>
  </si>
  <si>
    <t>CRHISTIAN ANDREE</t>
  </si>
  <si>
    <t>TREASURY LEAD</t>
  </si>
  <si>
    <t>SALAZAR</t>
  </si>
  <si>
    <t>SHE LEAD</t>
  </si>
  <si>
    <t>SALINAS</t>
  </si>
  <si>
    <t>SANTILLAN</t>
  </si>
  <si>
    <t>VALQUI</t>
  </si>
  <si>
    <t>ANGIE STEFFI</t>
  </si>
  <si>
    <t>SARA</t>
  </si>
  <si>
    <t>SILVA</t>
  </si>
  <si>
    <t>KEY ACCOUNT MANAGER</t>
  </si>
  <si>
    <t>SEGHELMEBLE</t>
  </si>
  <si>
    <t>CAVERO</t>
  </si>
  <si>
    <t>SALES CAPABILITIES LEAD</t>
  </si>
  <si>
    <t>SEVELORA</t>
  </si>
  <si>
    <t>VELASQUEZ</t>
  </si>
  <si>
    <t>MARIA DE FATIMA</t>
  </si>
  <si>
    <t>CHRISTIAN GIANPIER</t>
  </si>
  <si>
    <t>TERAN</t>
  </si>
  <si>
    <t>LUCIO</t>
  </si>
  <si>
    <t>VEJARANO</t>
  </si>
  <si>
    <t>MARIA FERNANDA</t>
  </si>
  <si>
    <t>SOLIS</t>
  </si>
  <si>
    <t>BUITRON</t>
  </si>
  <si>
    <t>EUDIS CRISPIN</t>
  </si>
  <si>
    <t>SOTOMAYOR</t>
  </si>
  <si>
    <t>AYALA</t>
  </si>
  <si>
    <t>CHRISTIAN FERNANDO</t>
  </si>
  <si>
    <t>SOVERO</t>
  </si>
  <si>
    <t>PALACIO</t>
  </si>
  <si>
    <t>CARLA</t>
  </si>
  <si>
    <t>ASISTENTE DE DIRECCIÓN Y ADMINISTRACIÓN</t>
  </si>
  <si>
    <t>10190001</t>
  </si>
  <si>
    <t>OFFICE MANAGEMENT</t>
  </si>
  <si>
    <t>INFANTE</t>
  </si>
  <si>
    <t>DAVID</t>
  </si>
  <si>
    <t>TOLEDO</t>
  </si>
  <si>
    <t>CADILLO</t>
  </si>
  <si>
    <t>VICTOR DANIEL</t>
  </si>
  <si>
    <t>URIOL</t>
  </si>
  <si>
    <t>CHRISTIAN ALBERTO</t>
  </si>
  <si>
    <t>URRUTIA</t>
  </si>
  <si>
    <t>MEZA</t>
  </si>
  <si>
    <t>ALBARO ERIK</t>
  </si>
  <si>
    <t>VALDEZ</t>
  </si>
  <si>
    <t>OLIVARI</t>
  </si>
  <si>
    <t>GONZALO JAVIER</t>
  </si>
  <si>
    <t>BREWING TECHNOLOGY MANAGER</t>
  </si>
  <si>
    <t>VALDIVIA</t>
  </si>
  <si>
    <t>CAROLINA ANTUANET</t>
  </si>
  <si>
    <t>10113101</t>
  </si>
  <si>
    <t>TAX</t>
  </si>
  <si>
    <t>VALENCIA</t>
  </si>
  <si>
    <t>VEGA</t>
  </si>
  <si>
    <t>LINARES</t>
  </si>
  <si>
    <t>PRISCILLA YAMILE</t>
  </si>
  <si>
    <t>NUÑUVERO</t>
  </si>
  <si>
    <t>JOSE VIDAL</t>
  </si>
  <si>
    <t>CHOFER</t>
  </si>
  <si>
    <t>VICHARRA</t>
  </si>
  <si>
    <t>CUADROS</t>
  </si>
  <si>
    <t>MERCEDES LIZETTE</t>
  </si>
  <si>
    <t>WELLNESS &amp; ENGAGEMENT COORDINATOR</t>
  </si>
  <si>
    <t>10131801</t>
  </si>
  <si>
    <t xml:space="preserve">HR OTHER
</t>
  </si>
  <si>
    <t>VILLACORTA</t>
  </si>
  <si>
    <t>FREYRE</t>
  </si>
  <si>
    <t>ALEJANDRA MARGARITA</t>
  </si>
  <si>
    <t>TRADE MARKETING ANALYST – MODERN TRADE</t>
  </si>
  <si>
    <t>WONG</t>
  </si>
  <si>
    <t>PAULA EMILIA</t>
  </si>
  <si>
    <t>WU</t>
  </si>
  <si>
    <t>SASCO</t>
  </si>
  <si>
    <t>DANIEL HUMBERTO</t>
  </si>
  <si>
    <t>S&amp;OP AND SC PLANNING MANAGER</t>
  </si>
  <si>
    <t>YUPANQUI</t>
  </si>
  <si>
    <t>TUME</t>
  </si>
  <si>
    <t>ZAMBRANO</t>
  </si>
  <si>
    <t>PEDRO EMILIO</t>
  </si>
  <si>
    <t>ZEVALLOS</t>
  </si>
  <si>
    <t>GERSON</t>
  </si>
  <si>
    <t>OCAMPO</t>
  </si>
  <si>
    <t>ALAN DAVID</t>
  </si>
  <si>
    <t>GERENTE LEGAL</t>
  </si>
  <si>
    <t>LEGAL</t>
  </si>
  <si>
    <t>INDEFINIDO</t>
  </si>
  <si>
    <t>PERSONAL FISCALIZADO</t>
  </si>
  <si>
    <t>00320001310505627935</t>
  </si>
  <si>
    <t>PERSONAL DE CONFIANZA</t>
  </si>
  <si>
    <t>POR INICIO O INC. ACTIVIDAD</t>
  </si>
  <si>
    <t>00917020830262136526</t>
  </si>
  <si>
    <t>00219313805457005810</t>
  </si>
  <si>
    <t>00219113152541805558</t>
  </si>
  <si>
    <t>PERSONAL NO FISCALIZADO</t>
  </si>
  <si>
    <t>00219119942729600950</t>
  </si>
  <si>
    <t>00110315900200028115</t>
  </si>
  <si>
    <t>00219119765369509354</t>
  </si>
  <si>
    <t>00219119137191105850</t>
  </si>
  <si>
    <t>00219110459975801852</t>
  </si>
  <si>
    <t>00219111864436709258</t>
  </si>
  <si>
    <t>00110814180224204529</t>
  </si>
  <si>
    <t>00320001310576740037</t>
  </si>
  <si>
    <t>PERSONAL DE DIRECCION</t>
  </si>
  <si>
    <t>00110315920100005010</t>
  </si>
  <si>
    <t>00382101327263105062</t>
  </si>
  <si>
    <t>00219110076691305859</t>
  </si>
  <si>
    <t>00110814110251351983</t>
  </si>
  <si>
    <t>00219119651686107657</t>
  </si>
  <si>
    <t>00315101303454007486</t>
  </si>
  <si>
    <t>00219119765367407253</t>
  </si>
  <si>
    <t>00223010330243009918</t>
  </si>
  <si>
    <t>00221512590748206820</t>
  </si>
  <si>
    <t>PERSONAL DE CONFIANZA NO FISCALIZADO</t>
  </si>
  <si>
    <t>00305901306076447030</t>
  </si>
  <si>
    <t>00219113926852807856</t>
  </si>
  <si>
    <t>00219110131721702151</t>
  </si>
  <si>
    <t>00219110004461906955</t>
  </si>
  <si>
    <t>00315101302551772884</t>
  </si>
  <si>
    <t>00315101302551770181</t>
  </si>
  <si>
    <t>00219119046728909759</t>
  </si>
  <si>
    <t>00219117402770505859</t>
  </si>
  <si>
    <t>00389801335562707343</t>
  </si>
  <si>
    <t>00917020880188903426</t>
  </si>
  <si>
    <t>00219119765368508357</t>
  </si>
  <si>
    <t>00219311620064608812</t>
  </si>
  <si>
    <t>00389801325540017943</t>
  </si>
  <si>
    <t>00110814180210123429</t>
  </si>
  <si>
    <t>00917020850060181328</t>
  </si>
  <si>
    <t>00320001311222076932</t>
  </si>
  <si>
    <t>DE EXTRANJERO</t>
  </si>
  <si>
    <t>00110315930100013420</t>
  </si>
  <si>
    <t>00908120201034711611</t>
  </si>
  <si>
    <t>00110832320200292840</t>
  </si>
  <si>
    <t>00219110487805202353</t>
  </si>
  <si>
    <t>00110315920100002747</t>
  </si>
  <si>
    <t>00219419736936509190</t>
  </si>
  <si>
    <t>00219119051184600553</t>
  </si>
  <si>
    <t>00315101302551102983</t>
  </si>
  <si>
    <t>00110057720226996045</t>
  </si>
  <si>
    <t>00315101302551781785</t>
  </si>
  <si>
    <t>00110579010203561236</t>
  </si>
  <si>
    <t>00219311743201109111</t>
  </si>
  <si>
    <t>00219319324494200815</t>
  </si>
  <si>
    <t>00110814180234913935</t>
  </si>
  <si>
    <t>00219113972415300553</t>
  </si>
  <si>
    <t>00389801342772451640</t>
  </si>
  <si>
    <t>00349301305696340044</t>
  </si>
  <si>
    <t>00110174010200880665</t>
  </si>
  <si>
    <t>00110315970100006149</t>
  </si>
  <si>
    <t>00389801336099680042</t>
  </si>
  <si>
    <t>00917020860821715727</t>
  </si>
  <si>
    <t>00219113327157505057</t>
  </si>
  <si>
    <t>00219119149325903159</t>
  </si>
  <si>
    <t>00110579070213620478</t>
  </si>
  <si>
    <t>00219319085833209011</t>
  </si>
  <si>
    <t>00110814170200334847</t>
  </si>
  <si>
    <t>00110342310200479254</t>
  </si>
  <si>
    <t>00110872910200182601</t>
  </si>
  <si>
    <t>00219119932360106857</t>
  </si>
  <si>
    <t>00110194870200769712</t>
  </si>
  <si>
    <t>00219419500576601890</t>
  </si>
  <si>
    <t>00219219749810603333</t>
  </si>
  <si>
    <t>00219219961182009837</t>
  </si>
  <si>
    <t>00110579060213865640</t>
  </si>
  <si>
    <t>00320001306791271936</t>
  </si>
  <si>
    <t>00110105480200317263</t>
  </si>
  <si>
    <t>00110135110201274812</t>
  </si>
  <si>
    <t>00110484350200429101</t>
  </si>
  <si>
    <t>00110057700230127760</t>
  </si>
  <si>
    <t>00110057740270854096</t>
  </si>
  <si>
    <t>00219310594675502111</t>
  </si>
  <si>
    <t>00316301304349621031</t>
  </si>
  <si>
    <t>00219413633156004496</t>
  </si>
  <si>
    <t>00110057740226130811</t>
  </si>
  <si>
    <t>00110814110240501045</t>
  </si>
  <si>
    <t>00110164140200003392</t>
  </si>
  <si>
    <t>00389801325183813742</t>
  </si>
  <si>
    <t>05460980010037500135</t>
  </si>
  <si>
    <t>00219113358553908551</t>
  </si>
  <si>
    <t>00219119627129603159</t>
  </si>
  <si>
    <t>00917020830347417829</t>
  </si>
  <si>
    <t>00110360590200802517</t>
  </si>
  <si>
    <t>00110579040218038726</t>
  </si>
  <si>
    <t>00219111860255706053</t>
  </si>
  <si>
    <t>00972420825336251467</t>
  </si>
  <si>
    <t>00219311620545504511</t>
  </si>
  <si>
    <t>00110814160225702565</t>
  </si>
  <si>
    <t>00219214009845809131</t>
  </si>
  <si>
    <t>00110057750215199585</t>
  </si>
  <si>
    <t>00110169090100045060</t>
  </si>
  <si>
    <t>01838100438111205040</t>
  </si>
  <si>
    <t>00219319524476503119</t>
  </si>
  <si>
    <t>00219110662795009759</t>
  </si>
  <si>
    <t>00110315910200022702</t>
  </si>
  <si>
    <t>00219110423624503459</t>
  </si>
  <si>
    <t>00110579010218038718</t>
  </si>
  <si>
    <t>00329301314791727986</t>
  </si>
  <si>
    <t>AFP INTEGRA</t>
  </si>
  <si>
    <t>571750JARIO4</t>
  </si>
  <si>
    <t>AFP PROFUTURO</t>
  </si>
  <si>
    <t>528571AAPIE8</t>
  </si>
  <si>
    <t>595911IABGR2</t>
  </si>
  <si>
    <t>AFP HABITAT</t>
  </si>
  <si>
    <t>637121RARGA9</t>
  </si>
  <si>
    <t>AFP PRIMA</t>
  </si>
  <si>
    <t>325661JABAA7</t>
  </si>
  <si>
    <t>553701JARAY0</t>
  </si>
  <si>
    <t>537771VACAT4</t>
  </si>
  <si>
    <t>605991CATAA6</t>
  </si>
  <si>
    <t>607310VAVAA8</t>
  </si>
  <si>
    <t>638950SASRA2</t>
  </si>
  <si>
    <t>654101RACNE0</t>
  </si>
  <si>
    <t>646271LAOEI0</t>
  </si>
  <si>
    <t>598631JAMSA1</t>
  </si>
  <si>
    <t>641470BAANG2</t>
  </si>
  <si>
    <t>646330CBCIR0</t>
  </si>
  <si>
    <t>622661GBPRT7</t>
  </si>
  <si>
    <t>636621KBPIE0</t>
  </si>
  <si>
    <t>634491OBCÑN4</t>
  </si>
  <si>
    <t>662400ABQVS6</t>
  </si>
  <si>
    <t>593111FCCEE5</t>
  </si>
  <si>
    <t>673691JCAEA2</t>
  </si>
  <si>
    <t>669410SCHDM6</t>
  </si>
  <si>
    <t>(en blanco)</t>
  </si>
  <si>
    <t>657940ACAPA3</t>
  </si>
  <si>
    <t>661611PCROA8</t>
  </si>
  <si>
    <t>618341ECCDP0</t>
  </si>
  <si>
    <t>642350GSMRA0</t>
  </si>
  <si>
    <t>342280LCEHA0</t>
  </si>
  <si>
    <t>301001JCLMN3</t>
  </si>
  <si>
    <t>570121CCCAO2</t>
  </si>
  <si>
    <t>340051WCGLI2</t>
  </si>
  <si>
    <t>601410LCAEO0</t>
  </si>
  <si>
    <t>655951MCVIA0</t>
  </si>
  <si>
    <t>546441JCVVQ8</t>
  </si>
  <si>
    <t>600261FCCCP9</t>
  </si>
  <si>
    <t>610920MCTTL0</t>
  </si>
  <si>
    <t>339791JCQDS2</t>
  </si>
  <si>
    <t>572200YCTOO9</t>
  </si>
  <si>
    <t>659381SCTTN1</t>
  </si>
  <si>
    <t>590751GCYZL5</t>
  </si>
  <si>
    <t>608291ECMYC4</t>
  </si>
  <si>
    <t>584511JCPLI5</t>
  </si>
  <si>
    <t>665671DCJZA2</t>
  </si>
  <si>
    <t>660951VDAZY0</t>
  </si>
  <si>
    <t>645001SDAZI4</t>
  </si>
  <si>
    <t>337661DDGZA8</t>
  </si>
  <si>
    <t>595081JDLZY3</t>
  </si>
  <si>
    <t>610940GDCGV0</t>
  </si>
  <si>
    <t>621020IEXHX0</t>
  </si>
  <si>
    <t>605301BEAQA8</t>
  </si>
  <si>
    <t>580421CERIP3</t>
  </si>
  <si>
    <t>635441CFBRR6</t>
  </si>
  <si>
    <t>573641CFFII7</t>
  </si>
  <si>
    <t>663410AGHZR4</t>
  </si>
  <si>
    <t>645960CGJZS4</t>
  </si>
  <si>
    <t>631611GGORV3</t>
  </si>
  <si>
    <t>580311JGCIA8</t>
  </si>
  <si>
    <t>348071LGVIG7</t>
  </si>
  <si>
    <t>564371LHGOC1</t>
  </si>
  <si>
    <t>601801WHHRA2</t>
  </si>
  <si>
    <t>591181MHARI5</t>
  </si>
  <si>
    <t>649451FHMRO3</t>
  </si>
  <si>
    <t>318471LHORH7</t>
  </si>
  <si>
    <t>669711JHBYC1</t>
  </si>
  <si>
    <t>227201PHTNO1</t>
  </si>
  <si>
    <t>580971EJAAR9</t>
  </si>
  <si>
    <t>656041LJPAE3</t>
  </si>
  <si>
    <t>622360AJMET4</t>
  </si>
  <si>
    <t>661740CPRNI1</t>
  </si>
  <si>
    <t>610091ILCNR6</t>
  </si>
  <si>
    <t>647861DLSEP7</t>
  </si>
  <si>
    <t>653271JLRAZ6</t>
  </si>
  <si>
    <t>604141PMCCZ6</t>
  </si>
  <si>
    <t>653880RMMIE9</t>
  </si>
  <si>
    <t>634671AMPIO9</t>
  </si>
  <si>
    <t>552281EMGDR3</t>
  </si>
  <si>
    <t>635040MMMAI1</t>
  </si>
  <si>
    <t>342061JMKEN1</t>
  </si>
  <si>
    <t>574551RMPEE9</t>
  </si>
  <si>
    <t>333451RMGQL3</t>
  </si>
  <si>
    <t>596931BMVOU9</t>
  </si>
  <si>
    <t>241061RNCAA8</t>
  </si>
  <si>
    <t>667541JNMJL6</t>
  </si>
  <si>
    <t>635541JODIG8</t>
  </si>
  <si>
    <t>642831JPMCD0</t>
  </si>
  <si>
    <t>596371CPVTI5</t>
  </si>
  <si>
    <t>664190RPAAA9</t>
  </si>
  <si>
    <t>636701JPPCT0</t>
  </si>
  <si>
    <t>663411NPVCA4</t>
  </si>
  <si>
    <t>589621RQQVR1</t>
  </si>
  <si>
    <t>662791RQTNJ0</t>
  </si>
  <si>
    <t>664451GQMSR5</t>
  </si>
  <si>
    <t>638611JQPSE0</t>
  </si>
  <si>
    <t>674531ARBIA4</t>
  </si>
  <si>
    <t>646281RRLIN6</t>
  </si>
  <si>
    <t>593171DRTER1</t>
  </si>
  <si>
    <t>651230MRDEZ5</t>
  </si>
  <si>
    <t>611841ERFER2</t>
  </si>
  <si>
    <t>626001JRCRA0</t>
  </si>
  <si>
    <t>628271JRUAR1</t>
  </si>
  <si>
    <t>664411DRMAE0</t>
  </si>
  <si>
    <t>343121CRPZD9</t>
  </si>
  <si>
    <t>554311MSCAR6</t>
  </si>
  <si>
    <t>661500ASVTQ0</t>
  </si>
  <si>
    <t>655391JSSAV0</t>
  </si>
  <si>
    <t>619241MSCHE5</t>
  </si>
  <si>
    <t>643410MSVEA4</t>
  </si>
  <si>
    <t>657931CSLVE5</t>
  </si>
  <si>
    <t>229331LSTVA2</t>
  </si>
  <si>
    <t>665370MSVVA3</t>
  </si>
  <si>
    <t>587711ESBIT2</t>
  </si>
  <si>
    <t>590231CSAOL9</t>
  </si>
  <si>
    <t>594590CSPEA0</t>
  </si>
  <si>
    <t>588641DTILA1</t>
  </si>
  <si>
    <t>270341VTCEI3</t>
  </si>
  <si>
    <t>549151JTLJE8</t>
  </si>
  <si>
    <t>647811CUMOT0</t>
  </si>
  <si>
    <t>613691AUMUA2</t>
  </si>
  <si>
    <t>616411GVODV1</t>
  </si>
  <si>
    <t>656780CVEDI6</t>
  </si>
  <si>
    <t>652850PVLAA9</t>
  </si>
  <si>
    <t>523281JVNAU3</t>
  </si>
  <si>
    <t>605810MVCHD5</t>
  </si>
  <si>
    <t>666690AVFLY3</t>
  </si>
  <si>
    <t>665050PVWLG1</t>
  </si>
  <si>
    <t>327001DWSUC9</t>
  </si>
  <si>
    <t>598411MYTAE4</t>
  </si>
  <si>
    <t>338331AZOAM7</t>
  </si>
  <si>
    <t>RENUNCIA VOLUNTARIA</t>
  </si>
  <si>
    <t>07764947</t>
  </si>
  <si>
    <t>DAMIAN</t>
  </si>
  <si>
    <t>MISHAEL MARTIN</t>
  </si>
  <si>
    <t>00110814190264830759</t>
  </si>
  <si>
    <t>00353301316005032577</t>
  </si>
  <si>
    <t>00219110710727005954</t>
  </si>
  <si>
    <t>569091MRDAI9</t>
  </si>
  <si>
    <t>71434550</t>
  </si>
  <si>
    <t>43722936</t>
  </si>
  <si>
    <t>ARCA</t>
  </si>
  <si>
    <t>VALVERDE</t>
  </si>
  <si>
    <t>JOSE MARIO</t>
  </si>
  <si>
    <t>JEFE DE VENTAS LIMA NORTE</t>
  </si>
  <si>
    <t>LUSICH</t>
  </si>
  <si>
    <t>ENRIQUE JAVIER</t>
  </si>
  <si>
    <t>GERENTE DE VENTAS CANAL MODERNO</t>
  </si>
  <si>
    <t>00219419322395300797</t>
  </si>
  <si>
    <t>636311JAVAV0</t>
  </si>
  <si>
    <t>00110579030218617378</t>
  </si>
  <si>
    <t>00110579090233090009</t>
  </si>
  <si>
    <t>00219312471277709914</t>
  </si>
  <si>
    <t>616511ECLVI6</t>
  </si>
  <si>
    <t>00110579050233089965</t>
  </si>
  <si>
    <t>PRES ESTUDIO</t>
  </si>
  <si>
    <t>71520231</t>
  </si>
  <si>
    <t>ALEJANDRO VALENTE</t>
  </si>
  <si>
    <t>00219419056456305491</t>
  </si>
  <si>
    <t>10550001</t>
  </si>
  <si>
    <t>PACKAGING MANAGEMENT</t>
  </si>
  <si>
    <t>75446607</t>
  </si>
  <si>
    <t>AURICH</t>
  </si>
  <si>
    <t>DEJO</t>
  </si>
  <si>
    <t>CLAUDIA ALICIA DE JESUS</t>
  </si>
  <si>
    <t>KAM EXECUTIVE</t>
  </si>
  <si>
    <t>00926120090705863099</t>
  </si>
  <si>
    <t>651010CADIO8</t>
  </si>
  <si>
    <t>10519002</t>
  </si>
  <si>
    <t>OTHER TPM</t>
  </si>
  <si>
    <t>41929399</t>
  </si>
  <si>
    <t>ALEX EDWUARD</t>
  </si>
  <si>
    <t>00219117733851901456</t>
  </si>
  <si>
    <t>603641ADCZZ0</t>
  </si>
  <si>
    <t>DE OBRA DETERMINADA O SERV.ESPECIF.</t>
  </si>
  <si>
    <t>70797881</t>
  </si>
  <si>
    <t>GIAN ERICKSON</t>
  </si>
  <si>
    <t>646581GGPEI1</t>
  </si>
  <si>
    <t>70429945</t>
  </si>
  <si>
    <t>ALARCON</t>
  </si>
  <si>
    <t>GIANCARLO JOSE</t>
  </si>
  <si>
    <t>00219119440416103659</t>
  </si>
  <si>
    <t>637821GMATR7</t>
  </si>
  <si>
    <t>70418408</t>
  </si>
  <si>
    <t>HELARIO</t>
  </si>
  <si>
    <t>00219113956816003650</t>
  </si>
  <si>
    <t>347841HRCOV0</t>
  </si>
  <si>
    <t>77885404</t>
  </si>
  <si>
    <t>VEREAU</t>
  </si>
  <si>
    <t>COTRINA</t>
  </si>
  <si>
    <t>TANNY FERNANDO</t>
  </si>
  <si>
    <t>00363001342486826312</t>
  </si>
  <si>
    <t>73081107</t>
  </si>
  <si>
    <t>CONDORI</t>
  </si>
  <si>
    <t>AYLIN NATHALY</t>
  </si>
  <si>
    <t>PRACTICANTE DE MANTENIMIENTO</t>
  </si>
  <si>
    <t>74095719</t>
  </si>
  <si>
    <t>PUCHOC</t>
  </si>
  <si>
    <t>HERNANDEZ</t>
  </si>
  <si>
    <t>PIERO JESUS</t>
  </si>
  <si>
    <t>ADELANTO SUELDO</t>
  </si>
  <si>
    <t>47610359</t>
  </si>
  <si>
    <t>BUTRON</t>
  </si>
  <si>
    <t>CORNEJO</t>
  </si>
  <si>
    <t>LORENA</t>
  </si>
  <si>
    <t>GERENTE DE TRADE MARKETING</t>
  </si>
  <si>
    <t>VENTAS</t>
  </si>
  <si>
    <t>00219119799867806053</t>
  </si>
  <si>
    <t>336730LBCRN8</t>
  </si>
  <si>
    <t>SC CONTROLLER SR. ANALYST</t>
  </si>
  <si>
    <t>MAINSTREAM &amp; VALUE BRAND MANAGER</t>
  </si>
  <si>
    <t>JEFE DE VENTAS ON TRADE</t>
  </si>
  <si>
    <t>74179202</t>
  </si>
  <si>
    <t>HUAMANI</t>
  </si>
  <si>
    <t>ANGEL BERNARDO</t>
  </si>
  <si>
    <t>647261AHCME6</t>
  </si>
  <si>
    <t>SC CONTROLLER MANAGER</t>
  </si>
  <si>
    <t>46674965</t>
  </si>
  <si>
    <t>MUCHAYPIÑA</t>
  </si>
  <si>
    <t>ERNESTO KENJO</t>
  </si>
  <si>
    <t>00110814120267787633</t>
  </si>
  <si>
    <t>331871EMMHA4</t>
  </si>
  <si>
    <t>JEFE DE VENTAS - CALLAO</t>
  </si>
  <si>
    <t>40256950</t>
  </si>
  <si>
    <t>RAVELO</t>
  </si>
  <si>
    <t>EVER</t>
  </si>
  <si>
    <t>00110109680200089831</t>
  </si>
  <si>
    <t>590721ERCEV3</t>
  </si>
  <si>
    <t>ANALISTA JR DE ALMACÉN</t>
  </si>
  <si>
    <t>TAX SR. ANALYST</t>
  </si>
  <si>
    <t>77915006</t>
  </si>
  <si>
    <t>ZUÑIGA</t>
  </si>
  <si>
    <t>ANALISTA DE TESORERÍA</t>
  </si>
  <si>
    <t xml:space="preserve">00320001311259075230 </t>
  </si>
  <si>
    <t>654871RZCII0</t>
  </si>
  <si>
    <t>70520047</t>
  </si>
  <si>
    <t>BROUSSET</t>
  </si>
  <si>
    <t>MICAELA MARIE</t>
  </si>
  <si>
    <t>PRACTICANTE DE TRADE MARKETING OFF</t>
  </si>
  <si>
    <t>00219110276565909354</t>
  </si>
  <si>
    <t>74901507</t>
  </si>
  <si>
    <t>LUY</t>
  </si>
  <si>
    <t>MONICA MILAGROS</t>
  </si>
  <si>
    <t>PRACTICANTE DE COMUNICACIONES Y ASUNTOS CORPORATIVOS</t>
  </si>
  <si>
    <t>00219119555200207252</t>
  </si>
  <si>
    <t>72573576</t>
  </si>
  <si>
    <t>SISSY NICOLE</t>
  </si>
  <si>
    <t>72613095</t>
  </si>
  <si>
    <t>CARLOS MAURICIO</t>
  </si>
  <si>
    <t>PRACTICANTE DE TI</t>
  </si>
  <si>
    <t>75993474</t>
  </si>
  <si>
    <t>LESCANO</t>
  </si>
  <si>
    <t>BORIS MAURICIO ENRIQUE</t>
  </si>
  <si>
    <t>00219319775650504212</t>
  </si>
  <si>
    <t>CUSIPAUCAR</t>
  </si>
  <si>
    <t>ASIG VIVIENDA 5D</t>
  </si>
  <si>
    <t>DSCTO ALIMENTOS</t>
  </si>
  <si>
    <t>00219110554585006758</t>
  </si>
  <si>
    <t>#HRS EXTRAS DOBLES</t>
  </si>
  <si>
    <t>HORAS EXTRAS 100%</t>
  </si>
  <si>
    <t>PD LOGISTICS AND DISTRIBUTION MANAGEMENT</t>
  </si>
  <si>
    <t>QUALITY ANALYST</t>
  </si>
  <si>
    <t>00110579080234685189</t>
  </si>
  <si>
    <t>00219419089751106594</t>
  </si>
  <si>
    <t>70096707</t>
  </si>
  <si>
    <t>PEDRO ELVIS</t>
  </si>
  <si>
    <t>00219110479755901755</t>
  </si>
  <si>
    <t>630231PECIT4</t>
  </si>
  <si>
    <t>TRADE MARKETING ANALYST - EVENTS</t>
  </si>
  <si>
    <t>DISTRIBUTION ANALYST</t>
  </si>
  <si>
    <t>74290955</t>
  </si>
  <si>
    <t>ROMERO</t>
  </si>
  <si>
    <t>ELIAS</t>
  </si>
  <si>
    <t>VALERIA LUCIA</t>
  </si>
  <si>
    <t>JEFE DE VENTAS CENTRO ORIENTE</t>
  </si>
  <si>
    <t>656930VREEA3</t>
  </si>
  <si>
    <t>70496417</t>
  </si>
  <si>
    <t>PAZ</t>
  </si>
  <si>
    <t>VICTORIA CAROLINA</t>
  </si>
  <si>
    <t>00219117153645904753</t>
  </si>
  <si>
    <t>669120VSPAZ0</t>
  </si>
  <si>
    <t>75486622</t>
  </si>
  <si>
    <t>SUAREZ</t>
  </si>
  <si>
    <t>IVAN JUNIOR</t>
  </si>
  <si>
    <t>71323325</t>
  </si>
  <si>
    <t>MACEDO</t>
  </si>
  <si>
    <t>BRENDA VIOLETA</t>
  </si>
  <si>
    <t>00304201330199673095</t>
  </si>
  <si>
    <t>644120BTMRE4</t>
  </si>
  <si>
    <t>668450MTCJT1</t>
  </si>
  <si>
    <t>00389801346038267147</t>
  </si>
  <si>
    <t>72930878</t>
  </si>
  <si>
    <t>YAUN</t>
  </si>
  <si>
    <t>JEAN BRIAN</t>
  </si>
  <si>
    <t>00219119570482704059</t>
  </si>
  <si>
    <t>PEOPLE INTERN</t>
  </si>
  <si>
    <t>HORAS EXTRAS FERIADO</t>
  </si>
  <si>
    <t>DIAS TRAB FERIADO</t>
  </si>
  <si>
    <t>FERIADO</t>
  </si>
  <si>
    <t>TRAB FERIADO</t>
  </si>
  <si>
    <t>ADELANTO VACACIONES</t>
  </si>
  <si>
    <t>OTROS DCTOS</t>
  </si>
  <si>
    <t>74710629</t>
  </si>
  <si>
    <t>DYLAN SEBASTIAN</t>
  </si>
  <si>
    <t>DESARROLLADOR DE VENTAS ON</t>
  </si>
  <si>
    <t>00110814150239230232</t>
  </si>
  <si>
    <t>661441DBVGG3</t>
  </si>
  <si>
    <t>41529979</t>
  </si>
  <si>
    <t>CANO</t>
  </si>
  <si>
    <t>ALBERTO JUNNIOR</t>
  </si>
  <si>
    <t>00110814140269638287</t>
  </si>
  <si>
    <t>601811ACDOZ1</t>
  </si>
  <si>
    <t>77378892</t>
  </si>
  <si>
    <t>GAMEZ</t>
  </si>
  <si>
    <t>JULIAN ROMAN</t>
  </si>
  <si>
    <t>JEFE DE VENTAS LIMA OFF</t>
  </si>
  <si>
    <t>00219119718304208754</t>
  </si>
  <si>
    <t>658631JCGZE4</t>
  </si>
  <si>
    <t>70578029</t>
  </si>
  <si>
    <t>AQUINO</t>
  </si>
  <si>
    <t>RUBEN</t>
  </si>
  <si>
    <t>PLANNER DE MANTENIMIENTO</t>
  </si>
  <si>
    <t>632821RCALI9</t>
  </si>
  <si>
    <t>71735985</t>
  </si>
  <si>
    <t>NIETO</t>
  </si>
  <si>
    <t>CHOZO</t>
  </si>
  <si>
    <t xml:space="preserve">ANDHER DAVID </t>
  </si>
  <si>
    <t>OPERADOR DE PRODUCCION</t>
  </si>
  <si>
    <t>00241519657222700187</t>
  </si>
  <si>
    <t>354291ANCTZ1</t>
  </si>
  <si>
    <t>72397906</t>
  </si>
  <si>
    <t>ORTEGA</t>
  </si>
  <si>
    <t>DAVILA</t>
  </si>
  <si>
    <t>CARLA ANDREA</t>
  </si>
  <si>
    <t>00219110616615904253</t>
  </si>
  <si>
    <t>659780CODEI0</t>
  </si>
  <si>
    <t>46364469</t>
  </si>
  <si>
    <t>PAITAN</t>
  </si>
  <si>
    <t>SIERRA</t>
  </si>
  <si>
    <t>JACK SAUL</t>
  </si>
  <si>
    <t>00219412966515500197</t>
  </si>
  <si>
    <t>40242169</t>
  </si>
  <si>
    <t>SEQUEIROS</t>
  </si>
  <si>
    <t>LOURDES KARINA</t>
  </si>
  <si>
    <t>00320001343436310730</t>
  </si>
  <si>
    <t>46740021</t>
  </si>
  <si>
    <t>POSTIGO</t>
  </si>
  <si>
    <t>MONTES</t>
  </si>
  <si>
    <t>MARIA ELIZABETH</t>
  </si>
  <si>
    <t>00219119473183401958</t>
  </si>
  <si>
    <t>632660MPMTT8</t>
  </si>
  <si>
    <t>41971536</t>
  </si>
  <si>
    <t>MELGAR</t>
  </si>
  <si>
    <t>00320001330579809133</t>
  </si>
  <si>
    <t>605561MRMOG9</t>
  </si>
  <si>
    <t>00219110685867004754</t>
  </si>
  <si>
    <t>00219110734586406354</t>
  </si>
  <si>
    <t>74629808</t>
  </si>
  <si>
    <t>CANDIA</t>
  </si>
  <si>
    <t>00110057730277156068</t>
  </si>
  <si>
    <t>645291GSCAD9</t>
  </si>
  <si>
    <t>00110579040234394818</t>
  </si>
  <si>
    <t>00219119233914105750</t>
  </si>
  <si>
    <t>653181ISFRR7</t>
  </si>
  <si>
    <t>00110579070234394826</t>
  </si>
  <si>
    <t>45738138</t>
  </si>
  <si>
    <t>WILSON</t>
  </si>
  <si>
    <t>JEREMY JOHN</t>
  </si>
  <si>
    <t>00336801310706008283</t>
  </si>
  <si>
    <t>626551JWMST6</t>
  </si>
  <si>
    <t>590541LPSEU0</t>
  </si>
  <si>
    <t>00219110734585505454</t>
  </si>
  <si>
    <t xml:space="preserve">TAX INTERN </t>
  </si>
  <si>
    <t>76050895</t>
  </si>
  <si>
    <t>GABINO</t>
  </si>
  <si>
    <t>URCUHUARANGA</t>
  </si>
  <si>
    <t>DIEGO ESTEBAN</t>
  </si>
  <si>
    <t>PRACTICANTE DE LOGISTICA</t>
  </si>
  <si>
    <t>00110814100271213811</t>
  </si>
  <si>
    <t>00389801345988015345</t>
  </si>
  <si>
    <t>RESUMEN BANCOS</t>
  </si>
  <si>
    <t xml:space="preserve">BANCO INTERAMERICANO DE FINANZAS S.A                                                                </t>
  </si>
  <si>
    <t>70894072</t>
  </si>
  <si>
    <t>TINOCO</t>
  </si>
  <si>
    <t>RENZO CARLO</t>
  </si>
  <si>
    <t>JEFE DE VENTAS LIMA</t>
  </si>
  <si>
    <t>00219419344469607990</t>
  </si>
  <si>
    <t>638311RBTNO6</t>
  </si>
  <si>
    <t>70251057</t>
  </si>
  <si>
    <t>GUEDES</t>
  </si>
  <si>
    <t>MICHAEL ANTONIO</t>
  </si>
  <si>
    <t>00219113495968601154</t>
  </si>
  <si>
    <t>339081MGGDZ4</t>
  </si>
  <si>
    <t>On &amp; Events Sales Lead</t>
  </si>
  <si>
    <t>77387229</t>
  </si>
  <si>
    <t>JURADO</t>
  </si>
  <si>
    <t>VILCA</t>
  </si>
  <si>
    <t>LUIS DANIEL</t>
  </si>
  <si>
    <t>00110057760257230652</t>
  </si>
  <si>
    <t>647801LJVAC3</t>
  </si>
  <si>
    <t>PROCESS LEAD</t>
  </si>
  <si>
    <t>00219112439537709355</t>
  </si>
  <si>
    <t>41672379</t>
  </si>
  <si>
    <t>PRIETO</t>
  </si>
  <si>
    <t>MECHATO</t>
  </si>
  <si>
    <t>GIAN CARLOS</t>
  </si>
  <si>
    <t>00972420825326556861</t>
  </si>
  <si>
    <t>603371GPMEH7</t>
  </si>
  <si>
    <t>10112401</t>
  </si>
  <si>
    <t>REVENUE MANAGEMENT</t>
  </si>
  <si>
    <t>45920337</t>
  </si>
  <si>
    <t>ROCCATAGLIATA</t>
  </si>
  <si>
    <t>LA BARRERA</t>
  </si>
  <si>
    <t>ENZO</t>
  </si>
  <si>
    <t>00110579090232210159</t>
  </si>
  <si>
    <t>326461ERBCR8</t>
  </si>
  <si>
    <t>46022324</t>
  </si>
  <si>
    <t>URIBE</t>
  </si>
  <si>
    <t>JONATHAN</t>
  </si>
  <si>
    <t>00110315960200069377</t>
  </si>
  <si>
    <t>323881JURBR9</t>
  </si>
  <si>
    <t>PRACTICAS PROFESIONALES</t>
  </si>
  <si>
    <t>76567035</t>
  </si>
  <si>
    <t>PANDAL</t>
  </si>
  <si>
    <t>VALENTIN</t>
  </si>
  <si>
    <t>RENZO SANTIAGO</t>
  </si>
  <si>
    <t>00219119623843804156</t>
  </si>
  <si>
    <t>71625819</t>
  </si>
  <si>
    <t>PÉREZ</t>
  </si>
  <si>
    <t>NICK RENZO</t>
  </si>
  <si>
    <t>678871JCPZE9</t>
  </si>
  <si>
    <t>00110579080235369434</t>
  </si>
  <si>
    <t>71318290</t>
  </si>
  <si>
    <t>ARELLANO</t>
  </si>
  <si>
    <t>ARNAO</t>
  </si>
  <si>
    <t>ALEXIS MOSUE</t>
  </si>
  <si>
    <t>JR ANALYST PRODUCTION &amp; REPORTING</t>
  </si>
  <si>
    <t>00330001342681256013</t>
  </si>
  <si>
    <t>661131AAALA7</t>
  </si>
  <si>
    <t>HUMAN RESOURCES BUSINESS PARTNER</t>
  </si>
  <si>
    <t>00110579010235369531</t>
  </si>
  <si>
    <t>73191279</t>
  </si>
  <si>
    <t>BAUTISTA</t>
  </si>
  <si>
    <t>DIEGO ALONSO</t>
  </si>
  <si>
    <t>00219419616282006094</t>
  </si>
  <si>
    <t>643281DDBZT0</t>
  </si>
  <si>
    <t>JUNIOR TRADE MARKETING ANALYST</t>
  </si>
  <si>
    <t>00110579080235369698</t>
  </si>
  <si>
    <t>76094742</t>
  </si>
  <si>
    <t>MONTERO</t>
  </si>
  <si>
    <t>DANIELLA MARÍA</t>
  </si>
  <si>
    <t>JEFE DE VENTAS - EVENTOS</t>
  </si>
  <si>
    <t>00219410460733807592</t>
  </si>
  <si>
    <t>656520DGMIT3</t>
  </si>
  <si>
    <t>00219119765371000951</t>
  </si>
  <si>
    <t>666181AQFSR6</t>
  </si>
  <si>
    <t>76270285</t>
  </si>
  <si>
    <t>CHACON</t>
  </si>
  <si>
    <t>JHONNY</t>
  </si>
  <si>
    <t>644661JRCOC3</t>
  </si>
  <si>
    <t>00110579020235369663</t>
  </si>
  <si>
    <t>ANALISTA TPM</t>
  </si>
  <si>
    <t>45889582</t>
  </si>
  <si>
    <t>SUÁREZ</t>
  </si>
  <si>
    <t>YSLA</t>
  </si>
  <si>
    <t>YONG HEMORSON</t>
  </si>
  <si>
    <t>00219313464734201317</t>
  </si>
  <si>
    <t>627191YSYRA7</t>
  </si>
  <si>
    <t>00110579050235369671</t>
  </si>
  <si>
    <t>00110579030235369752</t>
  </si>
  <si>
    <t>SUBVENCION ADICIONAL</t>
  </si>
  <si>
    <t>73979905</t>
  </si>
  <si>
    <t>ORELLANA</t>
  </si>
  <si>
    <t>LIVIMORO</t>
  </si>
  <si>
    <t>BRAULIO RAUL</t>
  </si>
  <si>
    <t>SHE INTERN</t>
  </si>
  <si>
    <t>00219110699044605551</t>
  </si>
  <si>
    <t>PRACTICANTE DE SUPPLY CHAIN</t>
  </si>
  <si>
    <t>669681IDGRC2</t>
  </si>
  <si>
    <t>671901CMZDA3</t>
  </si>
  <si>
    <t>DIAS SUBSIDIO ENFERMEDAD</t>
  </si>
  <si>
    <t>SUBS. POR ENFERMEDAD</t>
  </si>
  <si>
    <t>08134245</t>
  </si>
  <si>
    <t>AGUINAGA</t>
  </si>
  <si>
    <t>RIVERO</t>
  </si>
  <si>
    <t>JAVIER JESÚS</t>
  </si>
  <si>
    <t>255491JARIE6</t>
  </si>
  <si>
    <t>77540274</t>
  </si>
  <si>
    <t>ALCA</t>
  </si>
  <si>
    <t>CHAHUAYO</t>
  </si>
  <si>
    <t>JHONATAN RAUL</t>
  </si>
  <si>
    <t>00382101345809543364</t>
  </si>
  <si>
    <t>656771JACAH8</t>
  </si>
  <si>
    <t>00219110924345502250</t>
  </si>
  <si>
    <t>PEOPLE BUSINESS PARTNER</t>
  </si>
  <si>
    <t>00219110924347504254</t>
  </si>
  <si>
    <t>00972420833064132567</t>
  </si>
  <si>
    <t>TRADE MARKETING ANALIST ON &amp; TOP IMAGE</t>
  </si>
  <si>
    <t>ON TRADE MARKETING LEAD</t>
  </si>
  <si>
    <t>00219110924347904651</t>
  </si>
  <si>
    <t>00110579040235369426</t>
  </si>
  <si>
    <t>00219110924344301050</t>
  </si>
  <si>
    <t>00110814150277803297</t>
  </si>
  <si>
    <t>MARKETING JR COORDINATOR</t>
  </si>
  <si>
    <t>70450503</t>
  </si>
  <si>
    <t>ARIAN</t>
  </si>
  <si>
    <t>BUSINESS ANALYST</t>
  </si>
  <si>
    <t>665931AWPUE2</t>
  </si>
  <si>
    <t>71335860</t>
  </si>
  <si>
    <t>AMACIFUEN</t>
  </si>
  <si>
    <t>DIEGO SANTIAGO</t>
  </si>
  <si>
    <t>PRACTICANTE DE TRADE MARKETING - CANAL MODERNO</t>
  </si>
  <si>
    <t>00219110170143902452</t>
  </si>
  <si>
    <t>75743973</t>
  </si>
  <si>
    <t>ARRIAGA</t>
  </si>
  <si>
    <t>KENNY BRYAN DE PALMA</t>
  </si>
  <si>
    <t>00320001311011077037</t>
  </si>
  <si>
    <t>76319894</t>
  </si>
  <si>
    <t>BARREDA</t>
  </si>
  <si>
    <t>PANDO</t>
  </si>
  <si>
    <t>00219117216635700853</t>
  </si>
  <si>
    <t>73311640</t>
  </si>
  <si>
    <t>ARIANA ALLISON</t>
  </si>
  <si>
    <t>01181400026773784915</t>
  </si>
  <si>
    <t>71997965</t>
  </si>
  <si>
    <t>CÓNDOR</t>
  </si>
  <si>
    <t>SUPPLY CHAIN INTERN</t>
  </si>
  <si>
    <t>SUPPLY CHAIN NO</t>
  </si>
  <si>
    <t>001108140257510994</t>
  </si>
  <si>
    <t>00219110835930404050</t>
  </si>
  <si>
    <t xml:space="preserve">00219110924347604351 </t>
  </si>
  <si>
    <t>76324921</t>
  </si>
  <si>
    <t>KAMILA FERNANDA</t>
  </si>
  <si>
    <t>ROUTE TO MARKET INTERN</t>
  </si>
  <si>
    <t>001101570200643504</t>
  </si>
  <si>
    <t>75950514</t>
  </si>
  <si>
    <t>VENTURO</t>
  </si>
  <si>
    <t>PAULA</t>
  </si>
  <si>
    <t>PRACTICANTE DE MARKETING</t>
  </si>
  <si>
    <t>00219117510909206756</t>
  </si>
  <si>
    <t>MONTO</t>
  </si>
  <si>
    <t>PLANILLA EXTRANJEROS - (EXT)</t>
  </si>
  <si>
    <t>SUBVENCION ALIMENTOS</t>
  </si>
  <si>
    <t>72415282</t>
  </si>
  <si>
    <t>PICATOSTE</t>
  </si>
  <si>
    <t>VELAZCO</t>
  </si>
  <si>
    <t>SANTIAGO</t>
  </si>
  <si>
    <t>TOP IMAGE EXECUTIVE</t>
  </si>
  <si>
    <t>10366001</t>
  </si>
  <si>
    <t>KEY ACCOUNT MANAGEMENT - ON TRADE</t>
  </si>
  <si>
    <t>00219410286234105299</t>
  </si>
  <si>
    <t>664231SPVAA9</t>
  </si>
  <si>
    <t>DIAS GOCE HABER(D)</t>
  </si>
  <si>
    <t>LICENCIA GOCE HABER</t>
  </si>
  <si>
    <t>ASIG. EDUCACION (5DR)</t>
  </si>
  <si>
    <t>REINT. BONO CUMPLIM META</t>
  </si>
  <si>
    <t>73019440</t>
  </si>
  <si>
    <t>BARRIONUEVO</t>
  </si>
  <si>
    <t>SANDRA ROMINA</t>
  </si>
  <si>
    <t>STRATEGIC BUSINESS CONTROLLER</t>
  </si>
  <si>
    <t>00329701346182936292</t>
  </si>
  <si>
    <t>652370SBHRR3</t>
  </si>
  <si>
    <t>00310001347782077658</t>
  </si>
  <si>
    <t>72121602</t>
  </si>
  <si>
    <t>CASTRO</t>
  </si>
  <si>
    <t>CARLOS SEBASTIAN</t>
  </si>
  <si>
    <t>00389801338943148848</t>
  </si>
  <si>
    <t>659651CCATE7</t>
  </si>
  <si>
    <t>TPM DIGITAL MANAGER</t>
  </si>
  <si>
    <t>70160912</t>
  </si>
  <si>
    <t>MARIE</t>
  </si>
  <si>
    <t>ANALISTA JR DE ADMINISTRACIÓN DE PERSONAL Y NÓMINA</t>
  </si>
  <si>
    <t>00219419084832808598</t>
  </si>
  <si>
    <t>671230MCRPZ6</t>
  </si>
  <si>
    <t>TRADE SUPPORT &amp; BUSINESS INTELLIGENCE LEAD</t>
  </si>
  <si>
    <t>LEGAL JR. ANALYST</t>
  </si>
  <si>
    <t>671231JGGCI3</t>
  </si>
  <si>
    <t>009304361</t>
  </si>
  <si>
    <t>GEERAERTS</t>
  </si>
  <si>
    <t>x</t>
  </si>
  <si>
    <t>JONAS FREDERIK</t>
  </si>
  <si>
    <t>GERENTE GENERAL</t>
  </si>
  <si>
    <t>72635222</t>
  </si>
  <si>
    <t>JERI</t>
  </si>
  <si>
    <t>PAREJA</t>
  </si>
  <si>
    <t>ARIANA</t>
  </si>
  <si>
    <t>KAM TOP IMAGE</t>
  </si>
  <si>
    <t>637860AJPIE9</t>
  </si>
  <si>
    <t>PERIODO PRUEBA</t>
  </si>
  <si>
    <t>00383601347669921048</t>
  </si>
  <si>
    <t>01116900020041194300</t>
  </si>
  <si>
    <t>46125636</t>
  </si>
  <si>
    <t>PINO</t>
  </si>
  <si>
    <t>RICHARD ALEXANDER</t>
  </si>
  <si>
    <t>00972420833007921366</t>
  </si>
  <si>
    <t>328751RPPOC0</t>
  </si>
  <si>
    <t>MUTUO DISENSO</t>
  </si>
  <si>
    <t>40322174</t>
  </si>
  <si>
    <t>ROBERTO CARLOS</t>
  </si>
  <si>
    <t>591091RSCIZ6</t>
  </si>
  <si>
    <t>46460620</t>
  </si>
  <si>
    <t>SÁNCHEZ</t>
  </si>
  <si>
    <t>ODAR</t>
  </si>
  <si>
    <t>ERIKA KATHERINE</t>
  </si>
  <si>
    <t>00219119730043306450</t>
  </si>
  <si>
    <t>330930ESOCR4</t>
  </si>
  <si>
    <t>74119055</t>
  </si>
  <si>
    <t>SOUSA</t>
  </si>
  <si>
    <t>BRENDA MELISSA</t>
  </si>
  <si>
    <t>ANALISTA DE TRADE MARKETING CANAL TRADICIONAL</t>
  </si>
  <si>
    <t>00219313486576604319</t>
  </si>
  <si>
    <t>658230BSISR9</t>
  </si>
  <si>
    <t>77152428</t>
  </si>
  <si>
    <t>JOSÉ IGNACIO</t>
  </si>
  <si>
    <t>00219119714384209152</t>
  </si>
  <si>
    <t>655431JTVRV6</t>
  </si>
  <si>
    <t>00389801347952927444</t>
  </si>
  <si>
    <t>PRACTICANTE PROFESIONAL DE COMPRAS</t>
  </si>
  <si>
    <t>70452324</t>
  </si>
  <si>
    <t>GODOY</t>
  </si>
  <si>
    <t>GARLAND</t>
  </si>
  <si>
    <t>MARIANA BELÉN</t>
  </si>
  <si>
    <t>00326001315222554176</t>
  </si>
  <si>
    <t>74696579</t>
  </si>
  <si>
    <t>PAJARES</t>
  </si>
  <si>
    <t>SANCHEZ URRELLO</t>
  </si>
  <si>
    <t>JULIO CESAR AUGUSTO</t>
  </si>
  <si>
    <t>WAREHOUSE INTERN</t>
  </si>
  <si>
    <t>00219111020264700352</t>
  </si>
  <si>
    <t>ADELANTO CORPORATIVO</t>
  </si>
  <si>
    <t>BONO DE RETENCION</t>
  </si>
  <si>
    <t>DSCTO FOTOCHECK</t>
  </si>
  <si>
    <t>00110057700240008530</t>
  </si>
  <si>
    <t>00110057780220254721</t>
  </si>
  <si>
    <t>BANCO CTS</t>
  </si>
  <si>
    <t>MONEDA CTS</t>
  </si>
  <si>
    <t>NÚMERO CUENTA CTS</t>
  </si>
  <si>
    <t>SOL</t>
  </si>
  <si>
    <t>00320002323135575035</t>
  </si>
  <si>
    <t>00110057770735881834</t>
  </si>
  <si>
    <t>00972430823962201569</t>
  </si>
  <si>
    <t>DOL</t>
  </si>
  <si>
    <t>00219125249017519653</t>
  </si>
  <si>
    <t>00219124071862009156</t>
  </si>
  <si>
    <t xml:space="preserve">BANCO RIPLEY PERU S.A.                                                                              </t>
  </si>
  <si>
    <t>05500100101819485221</t>
  </si>
  <si>
    <t>03810010802292687649</t>
  </si>
  <si>
    <t>00320002338765479039</t>
  </si>
  <si>
    <t>00320002323135578434</t>
  </si>
  <si>
    <t>03810010802564696347</t>
  </si>
  <si>
    <t>00219125248981605950</t>
  </si>
  <si>
    <t>00219125284432909952</t>
  </si>
  <si>
    <t>00219125249357300950</t>
  </si>
  <si>
    <t>00219125194974307754</t>
  </si>
  <si>
    <t>10770001</t>
  </si>
  <si>
    <t>SD LOGISTICS AND DISTRIBUTION MANAGE</t>
  </si>
  <si>
    <t>00382102329947679669</t>
  </si>
  <si>
    <t>00972430833913997960</t>
  </si>
  <si>
    <t>00320002319694060137</t>
  </si>
  <si>
    <t>00110057710734536319</t>
  </si>
  <si>
    <t>00382102326867266064</t>
  </si>
  <si>
    <t>00219125137636801055</t>
  </si>
  <si>
    <t>00320002338765480330</t>
  </si>
  <si>
    <t>00110579080727563716</t>
  </si>
  <si>
    <t>00219125284433405058</t>
  </si>
  <si>
    <t>00219125248984000250</t>
  </si>
  <si>
    <t>00110579090722758276</t>
  </si>
  <si>
    <t>00110579010723360632</t>
  </si>
  <si>
    <t xml:space="preserve">CAJA MUNICIPAL DE AHORRO Y CREDITO DE HUANCAYO S.A                                                  </t>
  </si>
  <si>
    <t>107078231000126528</t>
  </si>
  <si>
    <t>00110579060718597934</t>
  </si>
  <si>
    <t>00110579080727546595</t>
  </si>
  <si>
    <t>00219125249017609654</t>
  </si>
  <si>
    <t>00110057710736134447</t>
  </si>
  <si>
    <t xml:space="preserve">CAJA MUNICIPAL DE AHORRO Y CREDITO DE PIURA S.A.C                                                   </t>
  </si>
  <si>
    <t>80110743001337547544</t>
  </si>
  <si>
    <t>00110579040727562752</t>
  </si>
  <si>
    <t>00110579050700369314</t>
  </si>
  <si>
    <t>00110057710735881907</t>
  </si>
  <si>
    <t>00219124066102300356</t>
  </si>
  <si>
    <t>00219125188124709856</t>
  </si>
  <si>
    <t>00219125217455601554</t>
  </si>
  <si>
    <t>00219125284434001152</t>
  </si>
  <si>
    <t>00320002323135581439</t>
  </si>
  <si>
    <t>00320002323135583035</t>
  </si>
  <si>
    <t>80110743001337260549</t>
  </si>
  <si>
    <t>00972430825907874265</t>
  </si>
  <si>
    <t>TERMINO DE CONTRATO</t>
  </si>
  <si>
    <t>00219125217454207458</t>
  </si>
  <si>
    <t>00320002344402249539</t>
  </si>
  <si>
    <t>00219125284434304156</t>
  </si>
  <si>
    <t>00110057720735958500</t>
  </si>
  <si>
    <t>00972430825981382568</t>
  </si>
  <si>
    <t xml:space="preserve">CAJA MUNICIPAL DE AHORRO Y CREDITO CUSCO S.A.                                                       </t>
  </si>
  <si>
    <t>80611034100000245337</t>
  </si>
  <si>
    <t>107078231000126629</t>
  </si>
  <si>
    <t>00972430825907875969</t>
  </si>
  <si>
    <t>00972430821953768869</t>
  </si>
  <si>
    <t>80110743001244230848</t>
  </si>
  <si>
    <t>00110579000727591167</t>
  </si>
  <si>
    <t>00972430825907876762</t>
  </si>
  <si>
    <t>00972430833916132763</t>
  </si>
  <si>
    <t>00382102333479226460</t>
  </si>
  <si>
    <t>00110057710735881931</t>
  </si>
  <si>
    <t>00110315970710012558</t>
  </si>
  <si>
    <t>00219125284434708158</t>
  </si>
  <si>
    <t>00219125162208106151</t>
  </si>
  <si>
    <t>00110579080722757814</t>
  </si>
  <si>
    <t>00110172430100057782</t>
  </si>
  <si>
    <t>627251JGXRX1</t>
  </si>
  <si>
    <t>00110579020726925509</t>
  </si>
  <si>
    <t>00219125137637104155</t>
  </si>
  <si>
    <t>00219424046265104599</t>
  </si>
  <si>
    <t>00320002344402246033</t>
  </si>
  <si>
    <t>00219125105327807552</t>
  </si>
  <si>
    <t>00316102323927899779</t>
  </si>
  <si>
    <t>00219124071862807150</t>
  </si>
  <si>
    <t>00110057760735825594</t>
  </si>
  <si>
    <t>00110579030702730286</t>
  </si>
  <si>
    <t>00110057730735958217</t>
  </si>
  <si>
    <t>80110743001337261049</t>
  </si>
  <si>
    <t>00219125248982606056</t>
  </si>
  <si>
    <t>107016231000896821</t>
  </si>
  <si>
    <t>00110579060727562930</t>
  </si>
  <si>
    <t>00219125105327908550</t>
  </si>
  <si>
    <t>00320002344402247933</t>
  </si>
  <si>
    <t>107078231000126831</t>
  </si>
  <si>
    <t>00110579020700369160</t>
  </si>
  <si>
    <t>80101543001252172490</t>
  </si>
  <si>
    <t>00110057700734506657</t>
  </si>
  <si>
    <t>03820310802793210662</t>
  </si>
  <si>
    <t>00972430833909028863</t>
  </si>
  <si>
    <t>00219125188125305959</t>
  </si>
  <si>
    <t>00219125137657702159</t>
  </si>
  <si>
    <t>00110579070702730642</t>
  </si>
  <si>
    <t>00219125284435001257</t>
  </si>
  <si>
    <t>107164231000089000</t>
  </si>
  <si>
    <t>00110579030710828996</t>
  </si>
  <si>
    <t>00110579060723034468</t>
  </si>
  <si>
    <t>00110579010718597861</t>
  </si>
  <si>
    <t xml:space="preserve">CAJA MUNICIPAL DE AHORRO Y CREDITO DE TRUJILLO S.A                                                  </t>
  </si>
  <si>
    <t>80202300234113815122</t>
  </si>
  <si>
    <t>107195231000011016</t>
  </si>
  <si>
    <t>00320002339233791332</t>
  </si>
  <si>
    <t>CAJA MUNICIPAL DE AHORRO Y CREDITO DE AREQUIPA S.A</t>
  </si>
  <si>
    <t>00406439602100002002</t>
  </si>
  <si>
    <t>00219125284435405259</t>
  </si>
  <si>
    <t>00972430823962170263</t>
  </si>
  <si>
    <t>00219124096459205653</t>
  </si>
  <si>
    <t>00219125284435809251</t>
  </si>
  <si>
    <t>00219125164518301458</t>
  </si>
  <si>
    <t>00219125284436304357</t>
  </si>
  <si>
    <t>00320002346904710738</t>
  </si>
  <si>
    <t>00219124075685005259</t>
  </si>
  <si>
    <t>00219125258091303157</t>
  </si>
  <si>
    <t>80101543001252171990</t>
  </si>
  <si>
    <t>107078231000127086</t>
  </si>
  <si>
    <t>00219125249507700153</t>
  </si>
  <si>
    <t>00110579020727591604</t>
  </si>
  <si>
    <t>00110579040718597713</t>
  </si>
  <si>
    <t>00382102329947675360</t>
  </si>
  <si>
    <t>00219125248983000154</t>
  </si>
  <si>
    <t>00110579030718597799</t>
  </si>
  <si>
    <t>00110579070718597896</t>
  </si>
  <si>
    <t>107164231000089633</t>
  </si>
  <si>
    <t>00110579090727556353</t>
  </si>
  <si>
    <t>00320002346892568239</t>
  </si>
  <si>
    <t>00110579030727575420</t>
  </si>
  <si>
    <t>00110579070700369233</t>
  </si>
  <si>
    <t>00219425245483107699</t>
  </si>
  <si>
    <t>00320002323135586531</t>
  </si>
  <si>
    <t>00219125137637003157</t>
  </si>
  <si>
    <t>00219125284436607351</t>
  </si>
  <si>
    <t>00110579050700369535</t>
  </si>
  <si>
    <t>00219125284437001459</t>
  </si>
  <si>
    <t>00219125248983202150</t>
  </si>
  <si>
    <t>00110579010715908564</t>
  </si>
  <si>
    <t>00110579090727563546</t>
  </si>
  <si>
    <t>00300902336326492183</t>
  </si>
  <si>
    <t>00219125284437203455</t>
  </si>
  <si>
    <t>00110579060702447606</t>
  </si>
  <si>
    <t>00320002344402248736</t>
  </si>
  <si>
    <t>05420784207060659866</t>
  </si>
  <si>
    <t xml:space="preserve">FINANCIERA QAPAQ S.A.                                                                               </t>
  </si>
  <si>
    <t>09335332700208746719</t>
  </si>
  <si>
    <t>00219125217455409558</t>
  </si>
  <si>
    <t>107078231000127187</t>
  </si>
  <si>
    <t>80110743001244231348</t>
  </si>
  <si>
    <t>00110057770735825616</t>
  </si>
  <si>
    <t>00219125248983404156</t>
  </si>
  <si>
    <t>00110579090726281393</t>
  </si>
  <si>
    <t>00219125284437900451</t>
  </si>
  <si>
    <t>00902230081908444351</t>
  </si>
  <si>
    <t>00110057730735881826</t>
  </si>
  <si>
    <t>00320002346892569032</t>
  </si>
  <si>
    <t>80101543001348712796</t>
  </si>
  <si>
    <t>107078231000127288</t>
  </si>
  <si>
    <t>00219125188126306055</t>
  </si>
  <si>
    <t>05420282010098118872</t>
  </si>
  <si>
    <t>00219125248983606152</t>
  </si>
  <si>
    <t>COMPARTAMOS FINANCIERA S.A.</t>
  </si>
  <si>
    <t>09199900403368000230</t>
  </si>
  <si>
    <t>00972430833908552066</t>
  </si>
  <si>
    <t>00110315920710012612</t>
  </si>
  <si>
    <t>00320002346892570431</t>
  </si>
  <si>
    <t>00110579000726281415</t>
  </si>
  <si>
    <t>00219125248983808158</t>
  </si>
  <si>
    <t>00219125188126508051</t>
  </si>
  <si>
    <t>00320002346892571234</t>
  </si>
  <si>
    <t>00110814160250860752</t>
  </si>
  <si>
    <t>00110579000719297640</t>
  </si>
  <si>
    <t>00219125188126609059</t>
  </si>
  <si>
    <t xml:space="preserve">CAJA MUNICIPAL DE AHORRO Y CREDITO DE ICA SA                                                        </t>
  </si>
  <si>
    <t>80904423410001236813</t>
  </si>
  <si>
    <t>00382102330058442560</t>
  </si>
  <si>
    <t>00110579060727568343</t>
  </si>
  <si>
    <t>00219119499836003659</t>
  </si>
  <si>
    <t>Año: 2025 - Periodo: 9</t>
  </si>
  <si>
    <t>DIAS COMP.VACACIONAL</t>
  </si>
  <si>
    <t>FALTA INJUSTIFICADA</t>
  </si>
  <si>
    <t>COMPENSACION VAC. 5D</t>
  </si>
  <si>
    <t>ASIG. FALLECIMIENTO</t>
  </si>
  <si>
    <t>ADELANTO BONO</t>
  </si>
  <si>
    <t>DSCTO. POR FALLECIMI</t>
  </si>
  <si>
    <t>DSCTO DE VIATICOS</t>
  </si>
  <si>
    <t>ACUENTA VACACIONES TRABAJADAS</t>
  </si>
  <si>
    <t>AGÜERO</t>
  </si>
  <si>
    <t>46969006</t>
  </si>
  <si>
    <t>HUANACO</t>
  </si>
  <si>
    <t>EMANUEL ALFREDO</t>
  </si>
  <si>
    <t>00219119667226805356</t>
  </si>
  <si>
    <t>332421ECHZN0</t>
  </si>
  <si>
    <t>00219113311817109651</t>
  </si>
  <si>
    <t>72094592</t>
  </si>
  <si>
    <t>DIEGO RODRIGO</t>
  </si>
  <si>
    <t>00219117923152304050</t>
  </si>
  <si>
    <t>673711DFAFA6</t>
  </si>
  <si>
    <t>46423923</t>
  </si>
  <si>
    <t>GUTIÉRREZ</t>
  </si>
  <si>
    <t>MEJÍA</t>
  </si>
  <si>
    <t>00110814120257063971</t>
  </si>
  <si>
    <t>630621JGMII8</t>
  </si>
  <si>
    <t>42252256</t>
  </si>
  <si>
    <t>EDGAR ABEL</t>
  </si>
  <si>
    <t>EJECUTIVO DE VENTAS REGIÓN NORTE</t>
  </si>
  <si>
    <t>00257019707031908102</t>
  </si>
  <si>
    <t>606711EHJNA1</t>
  </si>
  <si>
    <t>OFF TRADE MARKETING LEAD</t>
  </si>
  <si>
    <t>45852499</t>
  </si>
  <si>
    <t>SIMBRON</t>
  </si>
  <si>
    <t>EJECUTIVO DE VENTAS REGION CENTRO</t>
  </si>
  <si>
    <t>00110237540200542273</t>
  </si>
  <si>
    <t>626561FOSIB0</t>
  </si>
  <si>
    <t>70923546</t>
  </si>
  <si>
    <t>PARREÑO</t>
  </si>
  <si>
    <t>AVILA</t>
  </si>
  <si>
    <t>ANNE GIOVANNA</t>
  </si>
  <si>
    <t>00110579050213245146</t>
  </si>
  <si>
    <t>47580518</t>
  </si>
  <si>
    <t>PAUCAR</t>
  </si>
  <si>
    <t>ERIKA VANESSA</t>
  </si>
  <si>
    <t>00219312843707301414</t>
  </si>
  <si>
    <t>338480EPFCR0</t>
  </si>
  <si>
    <t>47510183</t>
  </si>
  <si>
    <t>PIÉROLA</t>
  </si>
  <si>
    <t>GUERRA</t>
  </si>
  <si>
    <t>HELARD MARTIN</t>
  </si>
  <si>
    <t>JEFE DE VENTAS – REGIÓN SUR</t>
  </si>
  <si>
    <t>00219419802523708997</t>
  </si>
  <si>
    <t>339151HPGRR0</t>
  </si>
  <si>
    <t>006534380</t>
  </si>
  <si>
    <t>RESTREPO</t>
  </si>
  <si>
    <t>DIANA DE LOS ANGELES</t>
  </si>
  <si>
    <t>06534380</t>
  </si>
  <si>
    <t>00219119543562902356</t>
  </si>
  <si>
    <t>679960RDANE1</t>
  </si>
  <si>
    <t>74119941</t>
  </si>
  <si>
    <t>FRANCO RODRIGO</t>
  </si>
  <si>
    <t>00389801346030326740</t>
  </si>
  <si>
    <t>674521FRQRN0</t>
  </si>
  <si>
    <t>70457799</t>
  </si>
  <si>
    <t>CESAR EMILIANO</t>
  </si>
  <si>
    <t>00110814150235904506</t>
  </si>
  <si>
    <t>647831CSCAV0</t>
  </si>
  <si>
    <t>70005000</t>
  </si>
  <si>
    <t>CALLE</t>
  </si>
  <si>
    <t>JOEL JORDANO</t>
  </si>
  <si>
    <t>00219110426132707052</t>
  </si>
  <si>
    <t>629451JVCAL7</t>
  </si>
  <si>
    <t>TC: 3.509</t>
  </si>
  <si>
    <t>#HRS BONO TURNO TARDE</t>
  </si>
  <si>
    <t>#HRS BONO TURNO NOCHE</t>
  </si>
  <si>
    <t/>
  </si>
  <si>
    <t>75132367</t>
  </si>
  <si>
    <t>USCA</t>
  </si>
  <si>
    <t>BIANCA ROMINA</t>
  </si>
  <si>
    <t>HR INTERN</t>
  </si>
  <si>
    <t>PEOPLE</t>
  </si>
  <si>
    <t>00219117592477408859</t>
  </si>
  <si>
    <t>72022381</t>
  </si>
  <si>
    <t>GRADOS</t>
  </si>
  <si>
    <t>ABRIGO</t>
  </si>
  <si>
    <t>GUADALUPE XIMENA</t>
  </si>
  <si>
    <t>BUSINESS CONTROL INTERN</t>
  </si>
  <si>
    <t>00219410824810702096</t>
  </si>
  <si>
    <t>74082469</t>
  </si>
  <si>
    <t>RAYMON HAROLD</t>
  </si>
  <si>
    <t>00219410650746709799</t>
  </si>
  <si>
    <t>TERMINO DE CONVENIO</t>
  </si>
  <si>
    <t>OK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</si>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</sst>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"/>
    <numFmt numFmtId="165" formatCode="_ * #,##0.00_ ;_ * \-#,##0.00_ ;_ * &quot;-&quot;??_ ;_ @_ "/>
  </numFmts>
  <fonts count="19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  <scheme val="minor"/>
    </font>
    <font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99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 applyBorder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4" fillId="0" borderId="0" xfId="0" applyFont="1"/>
    <xf numFmtId="0" fontId="8" fillId="6" borderId="3" xfId="0" applyFont="1" applyFill="1" applyBorder="1" applyAlignment="1">
      <alignment vertical="center"/>
    </xf>
    <xf numFmtId="0" fontId="8" fillId="6" borderId="5" xfId="0" applyFont="1" applyFill="1" applyBorder="1" applyAlignment="1">
      <alignment vertical="center"/>
    </xf>
    <xf numFmtId="49" fontId="6" fillId="7" borderId="6" xfId="0" applyNumberFormat="1" applyFont="1" applyFill="1" applyBorder="1" applyAlignment="1">
      <alignment vertical="center"/>
    </xf>
    <xf numFmtId="0" fontId="6" fillId="7" borderId="0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vertical="center"/>
    </xf>
    <xf numFmtId="49" fontId="7" fillId="7" borderId="6" xfId="0" applyNumberFormat="1" applyFont="1" applyFill="1" applyBorder="1" applyAlignment="1">
      <alignment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vertical="center"/>
    </xf>
    <xf numFmtId="165" fontId="9" fillId="8" borderId="8" xfId="0" applyNumberFormat="1" applyFont="1" applyFill="1" applyBorder="1" applyAlignment="1">
      <alignment vertical="center"/>
    </xf>
    <xf numFmtId="165" fontId="9" fillId="8" borderId="9" xfId="0" applyNumberFormat="1" applyFont="1" applyFill="1" applyBorder="1" applyAlignment="1">
      <alignment vertical="center"/>
    </xf>
    <xf numFmtId="165" fontId="9" fillId="8" borderId="10" xfId="0" applyNumberFormat="1" applyFont="1" applyFill="1" applyBorder="1" applyAlignment="1">
      <alignment vertical="center"/>
    </xf>
    <xf numFmtId="0" fontId="6" fillId="0" borderId="11" xfId="0" applyFont="1" applyBorder="1"/>
    <xf numFmtId="0" fontId="10" fillId="0" borderId="11" xfId="0" applyFont="1" applyBorder="1"/>
    <xf numFmtId="4" fontId="3" fillId="0" borderId="0" xfId="0" applyNumberFormat="1" applyFont="1"/>
    <xf numFmtId="43" fontId="3" fillId="0" borderId="0" xfId="1" applyFont="1"/>
    <xf numFmtId="0" fontId="8" fillId="6" borderId="5" xfId="0" applyFont="1" applyFill="1" applyBorder="1" applyAlignment="1">
      <alignment vertical="center" wrapText="1"/>
    </xf>
    <xf numFmtId="43" fontId="4" fillId="0" borderId="11" xfId="1" applyFont="1" applyBorder="1"/>
    <xf numFmtId="0" fontId="0" fillId="0" borderId="1" xfId="0" applyBorder="1"/>
    <xf numFmtId="164" fontId="0" fillId="0" borderId="1" xfId="0" applyNumberFormat="1" applyBorder="1"/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5" borderId="2" xfId="0" applyFill="1" applyBorder="1"/>
    <xf numFmtId="43" fontId="3" fillId="0" borderId="0" xfId="1" applyFont="1" applyAlignment="1">
      <alignment vertical="center"/>
    </xf>
    <xf numFmtId="0" fontId="11" fillId="0" borderId="0" xfId="0" applyFont="1" applyBorder="1" applyAlignment="1">
      <alignment horizontal="left" vertical="center" wrapText="1"/>
    </xf>
    <xf numFmtId="4" fontId="0" fillId="0" borderId="1" xfId="0" applyNumberFormat="1" applyBorder="1"/>
    <xf numFmtId="4" fontId="0" fillId="5" borderId="1" xfId="0" applyNumberFormat="1" applyFill="1" applyBorder="1"/>
    <xf numFmtId="4" fontId="0" fillId="4" borderId="1" xfId="0" applyNumberFormat="1" applyFill="1" applyBorder="1"/>
    <xf numFmtId="165" fontId="3" fillId="0" borderId="0" xfId="0" applyNumberFormat="1" applyFont="1"/>
    <xf numFmtId="0" fontId="15" fillId="0" borderId="0" xfId="0" applyFont="1" applyBorder="1"/>
    <xf numFmtId="0" fontId="16" fillId="0" borderId="1" xfId="0" applyFont="1" applyBorder="1"/>
    <xf numFmtId="0" fontId="17" fillId="0" borderId="0" xfId="0" applyFont="1" applyBorder="1"/>
    <xf numFmtId="4" fontId="0" fillId="5" borderId="2" xfId="0" applyNumberFormat="1" applyFill="1" applyBorder="1"/>
    <xf numFmtId="4" fontId="0" fillId="4" borderId="2" xfId="0" applyNumberFormat="1" applyFill="1" applyBorder="1"/>
    <xf numFmtId="4" fontId="16" fillId="0" borderId="1" xfId="0" applyNumberFormat="1" applyFont="1" applyBorder="1"/>
    <xf numFmtId="164" fontId="16" fillId="0" borderId="1" xfId="0" applyNumberFormat="1" applyFont="1" applyBorder="1"/>
    <xf numFmtId="4" fontId="16" fillId="4" borderId="1" xfId="0" applyNumberFormat="1" applyFont="1" applyFill="1" applyBorder="1"/>
    <xf numFmtId="4" fontId="16" fillId="5" borderId="1" xfId="0" applyNumberFormat="1" applyFont="1" applyFill="1" applyBorder="1"/>
    <xf numFmtId="0" fontId="12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4" fontId="3" fillId="0" borderId="0" xfId="0" applyNumberFormat="1" applyFont="1"/>
    <xf numFmtId="0" fontId="14" fillId="0" borderId="0" xfId="0" applyFont="1" applyBorder="1"/>
    <xf numFmtId="14" fontId="3" fillId="0" borderId="0" xfId="0" applyNumberFormat="1" applyFont="1" applyBorder="1" applyAlignment="1">
      <alignment horizontal="center" vertical="center" wrapText="1"/>
    </xf>
    <xf numFmtId="2" fontId="3" fillId="0" borderId="0" xfId="0" applyNumberFormat="1" applyFont="1"/>
    <xf numFmtId="2" fontId="3" fillId="0" borderId="0" xfId="0" applyNumberFormat="1" applyFont="1" applyBorder="1" applyAlignment="1">
      <alignment horizontal="center" vertical="center" wrapText="1"/>
    </xf>
    <xf numFmtId="43" fontId="4" fillId="0" borderId="11" xfId="0" applyNumberFormat="1" applyFont="1" applyBorder="1"/>
    <xf numFmtId="0" fontId="18" fillId="2" borderId="1" xfId="0" applyFont="1" applyFill="1" applyBorder="1" applyAlignment="1">
      <alignment horizontal="center" vertical="center" wrapText="1"/>
    </xf>
    <xf numFmtId="14" fontId="16" fillId="0" borderId="1" xfId="0" applyNumberFormat="1" applyFont="1" applyBorder="1"/>
    <xf numFmtId="14" fontId="18" fillId="2" borderId="1" xfId="0" applyNumberFormat="1" applyFont="1" applyFill="1" applyBorder="1" applyAlignment="1">
      <alignment horizontal="center" vertical="center" wrapText="1"/>
    </xf>
    <xf numFmtId="43" fontId="6" fillId="0" borderId="11" xfId="1" applyFont="1" applyBorder="1" applyAlignment="1">
      <alignment vertical="center"/>
    </xf>
    <xf numFmtId="43" fontId="7" fillId="0" borderId="11" xfId="1" applyFont="1" applyBorder="1" applyAlignment="1">
      <alignment vertical="center"/>
    </xf>
    <xf numFmtId="43" fontId="10" fillId="0" borderId="11" xfId="1" applyFont="1" applyBorder="1" applyAlignment="1">
      <alignment vertical="center"/>
    </xf>
    <xf numFmtId="43" fontId="6" fillId="9" borderId="12" xfId="1" applyFont="1" applyFill="1" applyBorder="1" applyAlignment="1" applyProtection="1">
      <alignment vertical="center"/>
      <protection locked="0"/>
    </xf>
    <xf numFmtId="14" fontId="0" fillId="0" borderId="1" xfId="0" applyNumberFormat="1" applyBorder="1"/>
    <xf numFmtId="14" fontId="0" fillId="5" borderId="2" xfId="0" applyNumberFormat="1" applyFill="1" applyBorder="1"/>
    <xf numFmtId="0" fontId="15" fillId="0" borderId="0" xfId="0" applyFont="1" applyBorder="1" applyAlignment="1">
      <alignment horizontal="center" vertical="center" wrapText="1"/>
    </xf>
    <xf numFmtId="43" fontId="3" fillId="0" borderId="0" xfId="1" applyFont="1" applyFill="1" applyAlignment="1">
      <alignment vertical="center"/>
    </xf>
    <xf numFmtId="43" fontId="4" fillId="0" borderId="11" xfId="1" applyFont="1" applyBorder="1" applyAlignment="1">
      <alignment vertical="center"/>
    </xf>
    <xf numFmtId="43" fontId="4" fillId="0" borderId="0" xfId="1" applyFont="1" applyAlignment="1">
      <alignment vertical="center"/>
    </xf>
    <xf numFmtId="43" fontId="3" fillId="0" borderId="0" xfId="0" applyNumberFormat="1" applyFont="1"/>
    <xf numFmtId="0" fontId="0" fillId="4" borderId="1" xfId="0" applyFill="1" applyBorder="1"/>
    <xf numFmtId="43" fontId="6" fillId="0" borderId="0" xfId="1" applyFont="1" applyBorder="1" applyAlignment="1">
      <alignment vertical="center"/>
    </xf>
    <xf numFmtId="43" fontId="4" fillId="0" borderId="0" xfId="1" applyFont="1" applyBorder="1" applyAlignment="1">
      <alignment vertical="center"/>
    </xf>
    <xf numFmtId="43" fontId="6" fillId="0" borderId="0" xfId="1" applyFont="1" applyFill="1" applyBorder="1" applyAlignment="1" applyProtection="1">
      <alignment vertical="center"/>
      <protection locked="0"/>
    </xf>
    <xf numFmtId="49" fontId="3" fillId="0" borderId="0" xfId="0" applyNumberFormat="1" applyFont="1"/>
    <xf numFmtId="0" fontId="16" fillId="4" borderId="1" xfId="0" applyFont="1" applyFill="1" applyBorder="1"/>
    <xf numFmtId="49" fontId="6" fillId="7" borderId="0" xfId="0" applyNumberFormat="1" applyFont="1" applyFill="1" applyBorder="1" applyAlignment="1">
      <alignment vertical="center"/>
    </xf>
    <xf numFmtId="49" fontId="7" fillId="7" borderId="0" xfId="0" applyNumberFormat="1" applyFont="1" applyFill="1" applyBorder="1" applyAlignment="1">
      <alignment vertical="center"/>
    </xf>
    <xf numFmtId="0" fontId="0" fillId="0" borderId="0" xfId="0" applyBorder="1"/>
    <xf numFmtId="4" fontId="0" fillId="0" borderId="0" xfId="0" applyNumberFormat="1" applyBorder="1"/>
    <xf numFmtId="14" fontId="0" fillId="0" borderId="0" xfId="0" applyNumberFormat="1" applyBorder="1"/>
    <xf numFmtId="43" fontId="3" fillId="0" borderId="0" xfId="1" applyFont="1" applyFill="1"/>
    <xf numFmtId="43" fontId="0" fillId="0" borderId="1" xfId="1" applyFont="1" applyBorder="1"/>
    <xf numFmtId="4" fontId="15" fillId="0" borderId="0" xfId="0" applyNumberFormat="1" applyFont="1" applyBorder="1"/>
    <xf numFmtId="0" fontId="0" fillId="0" borderId="1" xfId="0" quotePrefix="1" applyBorder="1"/>
    <xf numFmtId="0" fontId="4" fillId="0" borderId="0" xfId="0" applyFont="1"/>
    <xf numFmtId="0" fontId="3" fillId="0" borderId="0" xfId="0" applyFont="1"/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</cellXfs>
  <cellStyles count="5">
    <cellStyle name="Millares" xfId="1" builtinId="3"/>
    <cellStyle name="Millares 23" xfId="4" xr:uid="{64D8231A-8B98-4A83-B491-36F214C0890A}"/>
    <cellStyle name="Normal" xfId="0" builtinId="0"/>
    <cellStyle name="Normal 60" xfId="3" xr:uid="{D5113AC2-145D-4B19-BEEA-305475A9E8F3}"/>
    <cellStyle name="Normal 61" xfId="2" xr:uid="{3EA834FD-753F-49EC-9368-93F027CE94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107576</xdr:colOff>
      <xdr:row>0</xdr:row>
      <xdr:rowOff>0</xdr:rowOff>
    </xdr:from>
    <xdr:to>
      <xdr:col>2</xdr:col>
      <xdr:colOff>515358</xdr:colOff>
      <xdr:row>2</xdr:row>
      <xdr:rowOff>54087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2586A6-7839-C6E9-650F-DD8E49121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76" y="0"/>
          <a:ext cx="1120588" cy="4050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1</xdr:col>
      <xdr:colOff>987238</xdr:colOff>
      <xdr:row>2</xdr:row>
      <xdr:rowOff>58345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310E2C-0D06-49ED-AA7D-EC4ABEBF4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1120588" cy="405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231"/>
  <sheetViews>
    <sheetView showGridLines="0" tabSelected="1" zoomScale="60" zoomScaleNormal="60" workbookViewId="0">
      <pane xSplit="9" ySplit="8" topLeftCell="CW9" activePane="bottomRight" state="frozen"/>
      <selection pane="topRight" activeCell="G1" sqref="G1"/>
      <selection pane="bottomLeft" activeCell="A9" sqref="A9"/>
      <selection pane="bottomRight" activeCell="B6" sqref="B6:DG6"/>
    </sheetView>
  </sheetViews>
  <sheetFormatPr baseColWidth="10" defaultColWidth="9.1796875" defaultRowHeight="13" x14ac:dyDescent="0.3"/>
  <cols>
    <col min="1" max="1" width="4.54296875" style="1" customWidth="1"/>
    <col min="2" max="2" width="6" style="1" customWidth="1"/>
    <col min="3" max="4" width="18.453125" style="1" customWidth="1"/>
    <col min="5" max="5" width="16.81640625" style="1" customWidth="1"/>
    <col min="6" max="6" width="12.453125" style="1" customWidth="1"/>
    <col min="7" max="8" width="12.54296875" style="1" customWidth="1"/>
    <col min="9" max="9" width="6.54296875" style="1" customWidth="1"/>
    <col min="10" max="10" width="16.453125" style="1" customWidth="1"/>
    <col min="11" max="11" width="8.54296875" style="1" customWidth="1"/>
    <col min="12" max="13" width="11.54296875" style="1" customWidth="1"/>
    <col min="14" max="14" width="17.54296875" style="1" customWidth="1"/>
    <col min="15" max="15" width="14.453125" style="1" customWidth="1"/>
    <col min="16" max="16" width="12" style="1" customWidth="1"/>
    <col min="17" max="17" width="11.7265625" style="1" customWidth="1"/>
    <col min="18" max="18" width="14.26953125" style="1" customWidth="1"/>
    <col min="19" max="19" width="14.7265625" style="1" customWidth="1"/>
    <col min="20" max="20" width="66.7265625" style="1" customWidth="1"/>
    <col min="21" max="21" width="7.81640625" style="1" customWidth="1"/>
    <col min="22" max="22" width="23.54296875" style="1" customWidth="1"/>
    <col min="23" max="23" width="17.7265625" style="67" customWidth="1"/>
    <col min="24" max="24" width="25" style="1" customWidth="1"/>
    <col min="25" max="25" width="22.1796875" style="1" customWidth="1"/>
    <col min="26" max="26" width="17.7265625" style="1" customWidth="1"/>
    <col min="27" max="27" width="15.54296875" style="43" customWidth="1"/>
    <col min="28" max="28" width="24.26953125" style="43" customWidth="1"/>
    <col min="29" max="30" width="23.81640625" style="43" bestFit="1" customWidth="1"/>
    <col min="31" max="31" width="20.1796875" style="1" customWidth="1"/>
    <col min="32" max="35" width="13.81640625" style="1" customWidth="1"/>
    <col min="36" max="36" width="14.54296875" style="17" customWidth="1"/>
    <col min="37" max="37" width="13.7265625" style="25" customWidth="1"/>
    <col min="38" max="41" width="12.1796875" style="25" customWidth="1"/>
    <col min="42" max="60" width="15.26953125" style="25" customWidth="1"/>
    <col min="61" max="62" width="12.1796875" style="25" customWidth="1"/>
    <col min="63" max="63" width="14.453125" style="25" customWidth="1"/>
    <col min="64" max="67" width="14.26953125" style="25" customWidth="1"/>
    <col min="68" max="68" width="14.81640625" style="25" customWidth="1"/>
    <col min="69" max="69" width="15.26953125" style="25" customWidth="1"/>
    <col min="70" max="70" width="12.1796875" style="25" customWidth="1"/>
    <col min="71" max="71" width="14.26953125" style="25" customWidth="1"/>
    <col min="72" max="72" width="14" style="25" customWidth="1"/>
    <col min="73" max="73" width="12.1796875" style="25" customWidth="1"/>
    <col min="74" max="74" width="15" style="25" customWidth="1"/>
    <col min="75" max="75" width="13.26953125" style="25" customWidth="1"/>
    <col min="76" max="76" width="14.26953125" style="25" customWidth="1"/>
    <col min="77" max="77" width="12.1796875" style="25" customWidth="1"/>
    <col min="78" max="78" width="12.26953125" style="25" customWidth="1"/>
    <col min="79" max="79" width="15.453125" style="25" customWidth="1"/>
    <col min="80" max="80" width="12.1796875" style="25" customWidth="1"/>
    <col min="81" max="82" width="13.54296875" style="25" bestFit="1" customWidth="1"/>
    <col min="83" max="97" width="12.1796875" style="25" customWidth="1"/>
    <col min="98" max="98" width="14.453125" style="25" customWidth="1"/>
    <col min="99" max="100" width="12.1796875" style="25" customWidth="1"/>
    <col min="101" max="101" width="14.453125" style="25" customWidth="1"/>
    <col min="102" max="102" width="15.7265625" style="25" customWidth="1"/>
    <col min="103" max="105" width="14.81640625" style="25" customWidth="1"/>
    <col min="106" max="106" width="13.7265625" style="1" customWidth="1"/>
    <col min="107" max="107" width="13" style="1" customWidth="1"/>
    <col min="108" max="108" width="12.453125" style="1" bestFit="1" customWidth="1"/>
    <col min="109" max="109" width="9.1796875" style="1"/>
    <col min="110" max="110" width="27.453125" style="1" customWidth="1"/>
    <col min="111" max="111" width="12" style="1" bestFit="1" customWidth="1"/>
    <col min="112" max="113" width="10.81640625" style="1" bestFit="1" customWidth="1"/>
    <col min="114" max="16384" width="9.1796875" style="1"/>
  </cols>
  <sheetData>
    <row r="1" spans="2:111" x14ac:dyDescent="0.3">
      <c r="AB1" s="43" t="s">
        <v>1802</v>
      </c>
    </row>
    <row r="3" spans="2:111" x14ac:dyDescent="0.3">
      <c r="B3" s="78" t="s">
        <v>0</v>
      </c>
      <c r="C3" s="79"/>
      <c r="D3" s="79"/>
      <c r="E3" s="79"/>
      <c r="F3" s="79"/>
      <c r="G3" s="79"/>
    </row>
    <row r="4" spans="2:111" x14ac:dyDescent="0.3">
      <c r="B4" s="78" t="s">
        <v>1709</v>
      </c>
      <c r="C4" s="79"/>
      <c r="D4" s="79"/>
      <c r="E4" s="79"/>
      <c r="F4" s="79"/>
      <c r="G4" s="79"/>
    </row>
    <row r="5" spans="2:111" ht="22.5" customHeight="1" x14ac:dyDescent="0.3">
      <c r="C5" s="2" t="s">
        <v>1781</v>
      </c>
      <c r="D5" s="2"/>
      <c r="AJ5" s="74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</row>
    <row r="6" spans="2:111" s="58" customFormat="1" ht="54.75" customHeight="1" x14ac:dyDescent="0.35">
      <c r="B6" s="49" t="s">
        <v>1</v>
      </c>
      <c r="C6" s="49" t="s">
        <v>130</v>
      </c>
      <c r="D6" s="49" t="s">
        <v>2</v>
      </c>
      <c r="E6" s="49" t="s">
        <v>3</v>
      </c>
      <c r="F6" s="49" t="s">
        <v>4</v>
      </c>
      <c r="G6" s="49" t="s">
        <v>5</v>
      </c>
      <c r="H6" s="49" t="s">
        <v>6</v>
      </c>
      <c r="I6" s="49" t="s">
        <v>7</v>
      </c>
      <c r="J6" s="49" t="s">
        <v>8</v>
      </c>
      <c r="K6" s="49" t="s">
        <v>9</v>
      </c>
      <c r="L6" s="49" t="s">
        <v>10</v>
      </c>
      <c r="M6" s="49" t="s">
        <v>11</v>
      </c>
      <c r="N6" s="49" t="s">
        <v>12</v>
      </c>
      <c r="O6" s="49" t="s">
        <v>13</v>
      </c>
      <c r="P6" s="49" t="s">
        <v>14</v>
      </c>
      <c r="Q6" s="49" t="s">
        <v>15</v>
      </c>
      <c r="R6" s="49" t="s">
        <v>16</v>
      </c>
      <c r="S6" s="49" t="s">
        <v>17</v>
      </c>
      <c r="T6" s="49" t="s">
        <v>18</v>
      </c>
      <c r="U6" s="49" t="s">
        <v>19</v>
      </c>
      <c r="V6" s="49" t="s">
        <v>20</v>
      </c>
      <c r="W6" s="49" t="s">
        <v>21</v>
      </c>
      <c r="X6" s="49" t="s">
        <v>22</v>
      </c>
      <c r="Y6" s="49" t="s">
        <v>1526</v>
      </c>
      <c r="Z6" s="49" t="s">
        <v>1527</v>
      </c>
      <c r="AA6" s="49" t="s">
        <v>1528</v>
      </c>
      <c r="AB6" s="49" t="s">
        <v>23</v>
      </c>
      <c r="AC6" s="51" t="s">
        <v>24</v>
      </c>
      <c r="AD6" s="49" t="s">
        <v>25</v>
      </c>
      <c r="AE6" s="49" t="s">
        <v>26</v>
      </c>
      <c r="AF6" s="49" t="s">
        <v>1710</v>
      </c>
      <c r="AG6" s="49" t="s">
        <v>27</v>
      </c>
      <c r="AH6" s="49" t="s">
        <v>28</v>
      </c>
      <c r="AI6" s="49" t="s">
        <v>1372</v>
      </c>
      <c r="AJ6" s="49" t="s">
        <v>1444</v>
      </c>
      <c r="AK6" s="49" t="s">
        <v>1711</v>
      </c>
      <c r="AL6" s="40" t="s">
        <v>163</v>
      </c>
      <c r="AM6" s="40" t="s">
        <v>164</v>
      </c>
      <c r="AN6" s="40" t="s">
        <v>1150</v>
      </c>
      <c r="AO6" s="40" t="s">
        <v>1188</v>
      </c>
      <c r="AP6" s="40" t="s">
        <v>1189</v>
      </c>
      <c r="AQ6" s="40" t="s">
        <v>1782</v>
      </c>
      <c r="AR6" s="40" t="s">
        <v>1783</v>
      </c>
      <c r="AS6" s="42" t="s">
        <v>29</v>
      </c>
      <c r="AT6" s="42" t="s">
        <v>30</v>
      </c>
      <c r="AU6" s="49" t="s">
        <v>31</v>
      </c>
      <c r="AV6" s="49" t="s">
        <v>32</v>
      </c>
      <c r="AW6" s="49" t="s">
        <v>165</v>
      </c>
      <c r="AX6" s="49" t="s">
        <v>166</v>
      </c>
      <c r="AY6" s="49" t="s">
        <v>1151</v>
      </c>
      <c r="AZ6" s="49" t="s">
        <v>33</v>
      </c>
      <c r="BA6" s="49" t="s">
        <v>34</v>
      </c>
      <c r="BB6" s="49" t="s">
        <v>1445</v>
      </c>
      <c r="BC6" s="49" t="s">
        <v>1373</v>
      </c>
      <c r="BD6" s="49" t="s">
        <v>35</v>
      </c>
      <c r="BE6" s="49" t="s">
        <v>36</v>
      </c>
      <c r="BF6" s="49" t="s">
        <v>1446</v>
      </c>
      <c r="BG6" s="49" t="s">
        <v>37</v>
      </c>
      <c r="BH6" s="49" t="s">
        <v>1712</v>
      </c>
      <c r="BI6" s="49" t="s">
        <v>148</v>
      </c>
      <c r="BJ6" s="49" t="s">
        <v>149</v>
      </c>
      <c r="BK6" s="49" t="s">
        <v>152</v>
      </c>
      <c r="BL6" s="49" t="s">
        <v>1190</v>
      </c>
      <c r="BM6" s="49" t="s">
        <v>38</v>
      </c>
      <c r="BN6" s="49" t="s">
        <v>1191</v>
      </c>
      <c r="BO6" s="49" t="s">
        <v>39</v>
      </c>
      <c r="BP6" s="49" t="s">
        <v>1713</v>
      </c>
      <c r="BQ6" s="49" t="s">
        <v>1147</v>
      </c>
      <c r="BR6" s="49" t="s">
        <v>1522</v>
      </c>
      <c r="BS6" s="49" t="s">
        <v>150</v>
      </c>
      <c r="BT6" s="49" t="s">
        <v>40</v>
      </c>
      <c r="BU6" s="49" t="s">
        <v>41</v>
      </c>
      <c r="BV6" s="49" t="s">
        <v>167</v>
      </c>
      <c r="BW6" s="49" t="s">
        <v>168</v>
      </c>
      <c r="BX6" s="49" t="s">
        <v>1447</v>
      </c>
      <c r="BY6" s="41" t="s">
        <v>42</v>
      </c>
      <c r="BZ6" s="49" t="s">
        <v>1092</v>
      </c>
      <c r="CA6" s="49" t="s">
        <v>43</v>
      </c>
      <c r="CB6" s="49" t="s">
        <v>44</v>
      </c>
      <c r="CC6" s="49" t="s">
        <v>45</v>
      </c>
      <c r="CD6" s="49" t="s">
        <v>1714</v>
      </c>
      <c r="CE6" s="49" t="s">
        <v>46</v>
      </c>
      <c r="CF6" s="49" t="s">
        <v>47</v>
      </c>
      <c r="CG6" s="49" t="s">
        <v>48</v>
      </c>
      <c r="CH6" s="49" t="s">
        <v>1192</v>
      </c>
      <c r="CI6" s="49" t="s">
        <v>49</v>
      </c>
      <c r="CJ6" s="49" t="s">
        <v>1523</v>
      </c>
      <c r="CK6" s="49" t="s">
        <v>50</v>
      </c>
      <c r="CL6" s="49" t="s">
        <v>155</v>
      </c>
      <c r="CM6" s="49" t="s">
        <v>39</v>
      </c>
      <c r="CN6" s="49" t="s">
        <v>1521</v>
      </c>
      <c r="CO6" s="49" t="s">
        <v>1715</v>
      </c>
      <c r="CP6" s="49" t="s">
        <v>1193</v>
      </c>
      <c r="CQ6" s="49" t="s">
        <v>1047</v>
      </c>
      <c r="CR6" s="49" t="s">
        <v>151</v>
      </c>
      <c r="CS6" s="49" t="s">
        <v>104</v>
      </c>
      <c r="CT6" s="49" t="s">
        <v>1716</v>
      </c>
      <c r="CU6" s="49" t="s">
        <v>148</v>
      </c>
      <c r="CV6" s="49" t="s">
        <v>51</v>
      </c>
      <c r="CW6" s="49" t="s">
        <v>156</v>
      </c>
      <c r="CX6" s="49" t="s">
        <v>1717</v>
      </c>
      <c r="CY6" s="41" t="s">
        <v>52</v>
      </c>
      <c r="CZ6" s="49" t="s">
        <v>139</v>
      </c>
      <c r="DA6" s="49" t="s">
        <v>53</v>
      </c>
      <c r="DB6" s="49" t="s">
        <v>54</v>
      </c>
      <c r="DC6" s="49" t="s">
        <v>55</v>
      </c>
      <c r="DD6" s="49" t="s">
        <v>124</v>
      </c>
      <c r="DE6" s="49" t="s">
        <v>56</v>
      </c>
      <c r="DF6" s="41" t="s">
        <v>125</v>
      </c>
      <c r="DG6" s="41" t="s">
        <v>57</v>
      </c>
    </row>
    <row r="7" spans="2:111" s="31" customFormat="1" ht="14.5" x14ac:dyDescent="0.35">
      <c r="B7" s="20">
        <v>177</v>
      </c>
      <c r="C7" s="20" t="s">
        <v>187</v>
      </c>
      <c r="D7" s="20" t="s">
        <v>105</v>
      </c>
      <c r="E7" s="20" t="s">
        <v>1498</v>
      </c>
      <c r="F7" s="20" t="s">
        <v>1499</v>
      </c>
      <c r="G7" s="20" t="s">
        <v>686</v>
      </c>
      <c r="H7" s="20" t="s">
        <v>1500</v>
      </c>
      <c r="I7" s="20" t="s">
        <v>58</v>
      </c>
      <c r="J7" s="20" t="s">
        <v>1498</v>
      </c>
      <c r="K7" s="20" t="s">
        <v>66</v>
      </c>
      <c r="L7" s="21">
        <v>35825</v>
      </c>
      <c r="M7" s="20" t="s">
        <v>1501</v>
      </c>
      <c r="N7" s="20" t="s">
        <v>129</v>
      </c>
      <c r="O7" s="20" t="s">
        <v>60</v>
      </c>
      <c r="P7" s="20" t="s">
        <v>489</v>
      </c>
      <c r="Q7" s="20" t="s">
        <v>490</v>
      </c>
      <c r="R7" s="20" t="s">
        <v>783</v>
      </c>
      <c r="S7" s="20" t="s">
        <v>787</v>
      </c>
      <c r="T7" s="20" t="s">
        <v>63</v>
      </c>
      <c r="U7" s="20" t="s">
        <v>64</v>
      </c>
      <c r="V7" s="20" t="s">
        <v>1502</v>
      </c>
      <c r="W7" s="20" t="s">
        <v>891</v>
      </c>
      <c r="X7" s="20" t="s">
        <v>1503</v>
      </c>
      <c r="Y7" s="20"/>
      <c r="Z7" s="20"/>
      <c r="AA7" s="20"/>
      <c r="AB7" s="21">
        <v>45889</v>
      </c>
      <c r="AC7" s="20"/>
      <c r="AD7" s="20"/>
      <c r="AE7" s="27">
        <v>22</v>
      </c>
      <c r="AF7" s="20"/>
      <c r="AG7" s="20">
        <v>8</v>
      </c>
      <c r="AH7" s="20"/>
      <c r="AI7" s="20"/>
      <c r="AJ7" s="20"/>
      <c r="AK7" s="20"/>
      <c r="AL7" s="20"/>
      <c r="AM7" s="20"/>
      <c r="AN7" s="20"/>
      <c r="AO7" s="20"/>
      <c r="AP7" s="20"/>
      <c r="AQ7" s="20" t="s">
        <v>1784</v>
      </c>
      <c r="AR7" s="20" t="s">
        <v>1784</v>
      </c>
      <c r="AS7" s="29">
        <v>5800</v>
      </c>
      <c r="AT7" s="63"/>
      <c r="AU7" s="27">
        <v>4253.33</v>
      </c>
      <c r="AV7" s="20"/>
      <c r="AW7" s="20"/>
      <c r="AX7" s="20"/>
      <c r="AY7" s="20"/>
      <c r="AZ7" s="20">
        <v>1546.67</v>
      </c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7"/>
      <c r="BP7" s="20"/>
      <c r="BQ7" s="20"/>
      <c r="BR7" s="20"/>
      <c r="BS7" s="27">
        <v>48.03</v>
      </c>
      <c r="BT7" s="20"/>
      <c r="BU7" s="20"/>
      <c r="BV7" s="20"/>
      <c r="BW7" s="20"/>
      <c r="BX7" s="20"/>
      <c r="BY7" s="28">
        <v>5848.03</v>
      </c>
      <c r="BZ7" s="20"/>
      <c r="CA7" s="20"/>
      <c r="CB7" s="20"/>
      <c r="CC7" s="27"/>
      <c r="CD7" s="20"/>
      <c r="CE7" s="27">
        <v>580</v>
      </c>
      <c r="CF7" s="20"/>
      <c r="CG7" s="27">
        <v>79.459999999999994</v>
      </c>
      <c r="CH7" s="20"/>
      <c r="CI7" s="20"/>
      <c r="CJ7" s="20"/>
      <c r="CK7" s="20"/>
      <c r="CL7" s="20"/>
      <c r="CM7" s="27"/>
      <c r="CN7" s="20"/>
      <c r="CO7" s="20"/>
      <c r="CP7" s="20"/>
      <c r="CQ7" s="20"/>
      <c r="CR7" s="27">
        <v>48.03</v>
      </c>
      <c r="CS7" s="20"/>
      <c r="CT7" s="20"/>
      <c r="CU7" s="20"/>
      <c r="CV7" s="20"/>
      <c r="CW7" s="20"/>
      <c r="CX7" s="20"/>
      <c r="CY7" s="28">
        <v>707.49</v>
      </c>
      <c r="CZ7" s="27">
        <v>391.5</v>
      </c>
      <c r="DA7" s="27">
        <v>130.5</v>
      </c>
      <c r="DB7" s="27">
        <v>20.3</v>
      </c>
      <c r="DC7" s="27">
        <v>34.22</v>
      </c>
      <c r="DD7" s="20"/>
      <c r="DE7" s="27">
        <v>19.72</v>
      </c>
      <c r="DF7" s="28">
        <v>596.24</v>
      </c>
      <c r="DG7" s="28">
        <v>5140.54</v>
      </c>
    </row>
    <row r="8" spans="2:111" s="31" customFormat="1" ht="14.5" x14ac:dyDescent="0.35">
      <c r="B8" s="20">
        <v>51</v>
      </c>
      <c r="C8" s="20" t="s">
        <v>187</v>
      </c>
      <c r="D8" s="20" t="s">
        <v>105</v>
      </c>
      <c r="E8" s="20" t="s">
        <v>226</v>
      </c>
      <c r="F8" s="20" t="s">
        <v>485</v>
      </c>
      <c r="G8" s="20" t="s">
        <v>486</v>
      </c>
      <c r="H8" s="20" t="s">
        <v>487</v>
      </c>
      <c r="I8" s="20" t="s">
        <v>58</v>
      </c>
      <c r="J8" s="20" t="s">
        <v>226</v>
      </c>
      <c r="K8" s="20" t="s">
        <v>59</v>
      </c>
      <c r="L8" s="21">
        <v>35940</v>
      </c>
      <c r="M8" s="20" t="s">
        <v>488</v>
      </c>
      <c r="N8" s="20" t="s">
        <v>129</v>
      </c>
      <c r="O8" s="20" t="s">
        <v>60</v>
      </c>
      <c r="P8" s="20" t="s">
        <v>76</v>
      </c>
      <c r="Q8" s="20" t="s">
        <v>77</v>
      </c>
      <c r="R8" s="20" t="s">
        <v>783</v>
      </c>
      <c r="S8" s="20" t="s">
        <v>787</v>
      </c>
      <c r="T8" s="20" t="s">
        <v>137</v>
      </c>
      <c r="U8" s="20" t="s">
        <v>64</v>
      </c>
      <c r="V8" s="20" t="s">
        <v>815</v>
      </c>
      <c r="W8" s="20" t="s">
        <v>891</v>
      </c>
      <c r="X8" s="20" t="s">
        <v>933</v>
      </c>
      <c r="Y8" s="20" t="s">
        <v>137</v>
      </c>
      <c r="Z8" s="20" t="s">
        <v>1529</v>
      </c>
      <c r="AA8" s="20" t="s">
        <v>1581</v>
      </c>
      <c r="AB8" s="21">
        <v>45536</v>
      </c>
      <c r="AC8" s="20"/>
      <c r="AD8" s="20"/>
      <c r="AE8" s="27">
        <v>30</v>
      </c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 t="s">
        <v>1784</v>
      </c>
      <c r="AR8" s="20" t="s">
        <v>1784</v>
      </c>
      <c r="AS8" s="29">
        <v>3328</v>
      </c>
      <c r="AT8" s="63"/>
      <c r="AU8" s="27">
        <v>3328</v>
      </c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7"/>
      <c r="BP8" s="20"/>
      <c r="BQ8" s="20"/>
      <c r="BR8" s="20"/>
      <c r="BS8" s="27">
        <v>48.03</v>
      </c>
      <c r="BT8" s="20"/>
      <c r="BU8" s="20"/>
      <c r="BV8" s="20"/>
      <c r="BW8" s="20"/>
      <c r="BX8" s="20"/>
      <c r="BY8" s="28">
        <v>3376.03</v>
      </c>
      <c r="BZ8" s="20"/>
      <c r="CA8" s="20"/>
      <c r="CB8" s="20"/>
      <c r="CC8" s="27">
        <v>69.39</v>
      </c>
      <c r="CD8" s="20"/>
      <c r="CE8" s="27">
        <v>332.8</v>
      </c>
      <c r="CF8" s="20"/>
      <c r="CG8" s="27">
        <v>45.59</v>
      </c>
      <c r="CH8" s="20"/>
      <c r="CI8" s="20"/>
      <c r="CJ8" s="20"/>
      <c r="CK8" s="20"/>
      <c r="CL8" s="20"/>
      <c r="CM8" s="27"/>
      <c r="CN8" s="20"/>
      <c r="CO8" s="20"/>
      <c r="CP8" s="20"/>
      <c r="CQ8" s="20"/>
      <c r="CR8" s="27">
        <v>48.03</v>
      </c>
      <c r="CS8" s="20"/>
      <c r="CT8" s="20"/>
      <c r="CU8" s="20"/>
      <c r="CV8" s="20"/>
      <c r="CW8" s="20"/>
      <c r="CX8" s="20"/>
      <c r="CY8" s="28">
        <v>495.81</v>
      </c>
      <c r="CZ8" s="27">
        <v>224.64</v>
      </c>
      <c r="DA8" s="27">
        <v>74.88</v>
      </c>
      <c r="DB8" s="27">
        <v>11.65</v>
      </c>
      <c r="DC8" s="27">
        <v>19.64</v>
      </c>
      <c r="DD8" s="20"/>
      <c r="DE8" s="27">
        <v>11.32</v>
      </c>
      <c r="DF8" s="28">
        <v>342.13</v>
      </c>
      <c r="DG8" s="28">
        <v>2880.22</v>
      </c>
    </row>
    <row r="9" spans="2:111" s="31" customFormat="1" ht="14.5" x14ac:dyDescent="0.35">
      <c r="B9" s="20">
        <v>3</v>
      </c>
      <c r="C9" s="20" t="s">
        <v>187</v>
      </c>
      <c r="D9" s="20" t="s">
        <v>109</v>
      </c>
      <c r="E9" s="20" t="s">
        <v>189</v>
      </c>
      <c r="F9" s="20" t="s">
        <v>323</v>
      </c>
      <c r="G9" s="20" t="s">
        <v>324</v>
      </c>
      <c r="H9" s="20" t="s">
        <v>325</v>
      </c>
      <c r="I9" s="20" t="s">
        <v>58</v>
      </c>
      <c r="J9" s="20" t="s">
        <v>189</v>
      </c>
      <c r="K9" s="20" t="s">
        <v>59</v>
      </c>
      <c r="L9" s="21">
        <v>22859</v>
      </c>
      <c r="M9" s="20" t="s">
        <v>326</v>
      </c>
      <c r="N9" s="20" t="s">
        <v>327</v>
      </c>
      <c r="O9" s="20" t="s">
        <v>67</v>
      </c>
      <c r="P9" s="20" t="s">
        <v>328</v>
      </c>
      <c r="Q9" s="20" t="s">
        <v>329</v>
      </c>
      <c r="R9" s="20" t="s">
        <v>779</v>
      </c>
      <c r="S9" s="20" t="s">
        <v>780</v>
      </c>
      <c r="T9" s="20" t="s">
        <v>65</v>
      </c>
      <c r="U9" s="20" t="s">
        <v>73</v>
      </c>
      <c r="V9" s="20" t="s">
        <v>1323</v>
      </c>
      <c r="W9" s="20" t="s">
        <v>893</v>
      </c>
      <c r="X9" s="20" t="s">
        <v>894</v>
      </c>
      <c r="Y9" s="20" t="s">
        <v>65</v>
      </c>
      <c r="Z9" s="20" t="s">
        <v>1529</v>
      </c>
      <c r="AA9" s="20" t="s">
        <v>1531</v>
      </c>
      <c r="AB9" s="21">
        <v>44236</v>
      </c>
      <c r="AC9" s="20"/>
      <c r="AD9" s="20"/>
      <c r="AE9" s="27">
        <v>30</v>
      </c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>
        <v>32</v>
      </c>
      <c r="AR9" s="20" t="s">
        <v>1784</v>
      </c>
      <c r="AS9" s="29">
        <v>4048</v>
      </c>
      <c r="AT9" s="63"/>
      <c r="AU9" s="27">
        <v>4048</v>
      </c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7">
        <v>280.89999999999998</v>
      </c>
      <c r="BP9" s="20"/>
      <c r="BQ9" s="20"/>
      <c r="BR9" s="20"/>
      <c r="BS9" s="27">
        <v>96.07</v>
      </c>
      <c r="BT9" s="20"/>
      <c r="BU9" s="20"/>
      <c r="BV9" s="20"/>
      <c r="BW9" s="27">
        <v>80.959999999999994</v>
      </c>
      <c r="BX9" s="20"/>
      <c r="BY9" s="28">
        <v>4505.93</v>
      </c>
      <c r="BZ9" s="20"/>
      <c r="CA9" s="27">
        <v>1619.2</v>
      </c>
      <c r="CB9" s="20"/>
      <c r="CC9" s="27">
        <v>188.4</v>
      </c>
      <c r="CD9" s="20"/>
      <c r="CE9" s="27">
        <v>440.99</v>
      </c>
      <c r="CF9" s="27">
        <v>74.53</v>
      </c>
      <c r="CG9" s="27">
        <v>60.42</v>
      </c>
      <c r="CH9" s="20"/>
      <c r="CI9" s="20"/>
      <c r="CJ9" s="20"/>
      <c r="CK9" s="20"/>
      <c r="CL9" s="20"/>
      <c r="CM9" s="27">
        <v>280.89999999999998</v>
      </c>
      <c r="CN9" s="20"/>
      <c r="CO9" s="20"/>
      <c r="CP9" s="20"/>
      <c r="CQ9" s="20"/>
      <c r="CR9" s="27">
        <v>96.07</v>
      </c>
      <c r="CS9" s="20"/>
      <c r="CT9" s="20"/>
      <c r="CU9" s="20"/>
      <c r="CV9" s="20"/>
      <c r="CW9" s="27">
        <v>337.33</v>
      </c>
      <c r="CX9" s="20"/>
      <c r="CY9" s="28">
        <v>3097.84</v>
      </c>
      <c r="CZ9" s="27">
        <v>297.67</v>
      </c>
      <c r="DA9" s="27">
        <v>99.22</v>
      </c>
      <c r="DB9" s="27">
        <v>15.43</v>
      </c>
      <c r="DC9" s="27">
        <v>26.02</v>
      </c>
      <c r="DD9" s="27">
        <v>33.07</v>
      </c>
      <c r="DE9" s="27">
        <v>14.99</v>
      </c>
      <c r="DF9" s="28">
        <v>486.4</v>
      </c>
      <c r="DG9" s="28">
        <v>1408.09</v>
      </c>
    </row>
    <row r="10" spans="2:111" s="33" customFormat="1" ht="14.5" x14ac:dyDescent="0.35">
      <c r="B10" s="20">
        <v>165</v>
      </c>
      <c r="C10" s="20" t="s">
        <v>187</v>
      </c>
      <c r="D10" s="20" t="s">
        <v>105</v>
      </c>
      <c r="E10" s="20" t="s">
        <v>1168</v>
      </c>
      <c r="F10" s="20" t="s">
        <v>696</v>
      </c>
      <c r="G10" s="20" t="s">
        <v>1169</v>
      </c>
      <c r="H10" s="20" t="s">
        <v>1170</v>
      </c>
      <c r="I10" s="20" t="s">
        <v>58</v>
      </c>
      <c r="J10" s="20" t="s">
        <v>1168</v>
      </c>
      <c r="K10" s="20" t="s">
        <v>66</v>
      </c>
      <c r="L10" s="21">
        <v>36914</v>
      </c>
      <c r="M10" s="20" t="s">
        <v>548</v>
      </c>
      <c r="N10" s="20" t="s">
        <v>129</v>
      </c>
      <c r="O10" s="20" t="s">
        <v>60</v>
      </c>
      <c r="P10" s="20" t="s">
        <v>76</v>
      </c>
      <c r="Q10" s="20" t="s">
        <v>77</v>
      </c>
      <c r="R10" s="20" t="s">
        <v>783</v>
      </c>
      <c r="S10" s="20" t="s">
        <v>787</v>
      </c>
      <c r="T10" s="20" t="s">
        <v>63</v>
      </c>
      <c r="U10" s="20" t="s">
        <v>64</v>
      </c>
      <c r="V10" s="20" t="s">
        <v>1171</v>
      </c>
      <c r="W10" s="20" t="s">
        <v>891</v>
      </c>
      <c r="X10" s="20" t="s">
        <v>1172</v>
      </c>
      <c r="Y10" s="20" t="s">
        <v>63</v>
      </c>
      <c r="Z10" s="20" t="s">
        <v>1529</v>
      </c>
      <c r="AA10" s="20" t="s">
        <v>1671</v>
      </c>
      <c r="AB10" s="21">
        <v>45722</v>
      </c>
      <c r="AC10" s="20"/>
      <c r="AD10" s="20"/>
      <c r="AE10" s="27">
        <v>23</v>
      </c>
      <c r="AF10" s="20"/>
      <c r="AG10" s="20">
        <v>7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 t="s">
        <v>1784</v>
      </c>
      <c r="AR10" s="20" t="s">
        <v>1784</v>
      </c>
      <c r="AS10" s="29">
        <v>3800</v>
      </c>
      <c r="AT10" s="63"/>
      <c r="AU10" s="27">
        <v>2913.33</v>
      </c>
      <c r="AV10" s="20"/>
      <c r="AW10" s="20"/>
      <c r="AX10" s="20"/>
      <c r="AY10" s="20"/>
      <c r="AZ10" s="20">
        <v>886.67</v>
      </c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7"/>
      <c r="BP10" s="20"/>
      <c r="BQ10" s="20"/>
      <c r="BR10" s="20"/>
      <c r="BS10" s="27">
        <v>96.06</v>
      </c>
      <c r="BT10" s="20"/>
      <c r="BU10" s="20"/>
      <c r="BV10" s="20"/>
      <c r="BW10" s="20"/>
      <c r="BX10" s="20"/>
      <c r="BY10" s="28">
        <v>3896.06</v>
      </c>
      <c r="BZ10" s="20"/>
      <c r="CA10" s="20"/>
      <c r="CB10" s="20"/>
      <c r="CC10" s="27">
        <v>61.07</v>
      </c>
      <c r="CD10" s="20"/>
      <c r="CE10" s="27">
        <v>380</v>
      </c>
      <c r="CF10" s="20"/>
      <c r="CG10" s="27">
        <v>52.06</v>
      </c>
      <c r="CH10" s="20"/>
      <c r="CI10" s="20">
        <v>39.1</v>
      </c>
      <c r="CJ10" s="20"/>
      <c r="CK10" s="20"/>
      <c r="CL10" s="20"/>
      <c r="CM10" s="27"/>
      <c r="CN10" s="20"/>
      <c r="CO10" s="20"/>
      <c r="CP10" s="20"/>
      <c r="CQ10" s="20"/>
      <c r="CR10" s="27">
        <v>96.06</v>
      </c>
      <c r="CS10" s="20"/>
      <c r="CT10" s="20"/>
      <c r="CU10" s="20"/>
      <c r="CV10" s="20"/>
      <c r="CW10" s="20"/>
      <c r="CX10" s="20"/>
      <c r="CY10" s="28">
        <v>628.29</v>
      </c>
      <c r="CZ10" s="27">
        <v>256.5</v>
      </c>
      <c r="DA10" s="27">
        <v>85.5</v>
      </c>
      <c r="DB10" s="27">
        <v>13.3</v>
      </c>
      <c r="DC10" s="27">
        <v>22.42</v>
      </c>
      <c r="DD10" s="20"/>
      <c r="DE10" s="27">
        <v>12.92</v>
      </c>
      <c r="DF10" s="28">
        <v>390.64</v>
      </c>
      <c r="DG10" s="28">
        <v>3267.77</v>
      </c>
    </row>
    <row r="11" spans="2:111" s="31" customFormat="1" ht="14.5" x14ac:dyDescent="0.35">
      <c r="B11" s="20">
        <v>36</v>
      </c>
      <c r="C11" s="20" t="s">
        <v>187</v>
      </c>
      <c r="D11" s="20" t="s">
        <v>105</v>
      </c>
      <c r="E11" s="20" t="s">
        <v>213</v>
      </c>
      <c r="F11" s="20" t="s">
        <v>436</v>
      </c>
      <c r="G11" s="20" t="s">
        <v>437</v>
      </c>
      <c r="H11" s="20" t="s">
        <v>438</v>
      </c>
      <c r="I11" s="20" t="s">
        <v>58</v>
      </c>
      <c r="J11" s="20" t="s">
        <v>213</v>
      </c>
      <c r="K11" s="20" t="s">
        <v>59</v>
      </c>
      <c r="L11" s="21">
        <v>31836</v>
      </c>
      <c r="M11" s="20" t="s">
        <v>439</v>
      </c>
      <c r="N11" s="20" t="s">
        <v>129</v>
      </c>
      <c r="O11" s="20" t="s">
        <v>60</v>
      </c>
      <c r="P11" s="20" t="s">
        <v>61</v>
      </c>
      <c r="Q11" s="20" t="s">
        <v>62</v>
      </c>
      <c r="R11" s="20" t="s">
        <v>779</v>
      </c>
      <c r="S11" s="20" t="s">
        <v>780</v>
      </c>
      <c r="T11" s="20" t="s">
        <v>63</v>
      </c>
      <c r="U11" s="20" t="s">
        <v>64</v>
      </c>
      <c r="V11" s="20" t="s">
        <v>805</v>
      </c>
      <c r="W11" s="20" t="s">
        <v>893</v>
      </c>
      <c r="X11" s="20" t="s">
        <v>920</v>
      </c>
      <c r="Y11" s="20" t="s">
        <v>65</v>
      </c>
      <c r="Z11" s="20" t="s">
        <v>1529</v>
      </c>
      <c r="AA11" s="20" t="s">
        <v>1565</v>
      </c>
      <c r="AB11" s="21">
        <v>44287</v>
      </c>
      <c r="AC11" s="20"/>
      <c r="AD11" s="20"/>
      <c r="AE11" s="27">
        <v>15</v>
      </c>
      <c r="AF11" s="20"/>
      <c r="AG11" s="20">
        <v>15</v>
      </c>
      <c r="AH11" s="20"/>
      <c r="AI11" s="20"/>
      <c r="AJ11" s="20"/>
      <c r="AK11" s="20"/>
      <c r="AL11" s="20"/>
      <c r="AM11" s="20"/>
      <c r="AN11" s="20"/>
      <c r="AO11" s="20"/>
      <c r="AP11" s="20">
        <v>1</v>
      </c>
      <c r="AQ11" s="20" t="s">
        <v>1784</v>
      </c>
      <c r="AR11" s="20" t="s">
        <v>1784</v>
      </c>
      <c r="AS11" s="29">
        <v>3767.4</v>
      </c>
      <c r="AT11" s="63"/>
      <c r="AU11" s="27">
        <v>1883.7</v>
      </c>
      <c r="AV11" s="20"/>
      <c r="AW11" s="20"/>
      <c r="AX11" s="20"/>
      <c r="AY11" s="20"/>
      <c r="AZ11" s="20">
        <v>2683.35</v>
      </c>
      <c r="BA11" s="20"/>
      <c r="BB11" s="20"/>
      <c r="BC11" s="20"/>
      <c r="BD11" s="20"/>
      <c r="BE11" s="20">
        <v>195</v>
      </c>
      <c r="BF11" s="20"/>
      <c r="BG11" s="20"/>
      <c r="BH11" s="20"/>
      <c r="BI11" s="20"/>
      <c r="BJ11" s="20"/>
      <c r="BK11" s="20"/>
      <c r="BL11" s="20"/>
      <c r="BM11" s="20"/>
      <c r="BN11" s="20">
        <v>251.16</v>
      </c>
      <c r="BO11" s="27"/>
      <c r="BP11" s="20"/>
      <c r="BQ11" s="20">
        <v>1000</v>
      </c>
      <c r="BR11" s="20"/>
      <c r="BS11" s="27">
        <v>48.03</v>
      </c>
      <c r="BT11" s="20"/>
      <c r="BU11" s="20">
        <v>1085.27</v>
      </c>
      <c r="BV11" s="20"/>
      <c r="BW11" s="20"/>
      <c r="BX11" s="20"/>
      <c r="BY11" s="28">
        <v>7146.51</v>
      </c>
      <c r="BZ11" s="20"/>
      <c r="CA11" s="20"/>
      <c r="CB11" s="20"/>
      <c r="CC11" s="27">
        <v>611.16999999999996</v>
      </c>
      <c r="CD11" s="20"/>
      <c r="CE11" s="27">
        <v>709.85</v>
      </c>
      <c r="CF11" s="20">
        <v>119.96</v>
      </c>
      <c r="CG11" s="27">
        <v>97.25</v>
      </c>
      <c r="CH11" s="20"/>
      <c r="CI11" s="20"/>
      <c r="CJ11" s="20"/>
      <c r="CK11" s="20"/>
      <c r="CL11" s="20"/>
      <c r="CM11" s="27"/>
      <c r="CN11" s="20"/>
      <c r="CO11" s="20"/>
      <c r="CP11" s="20"/>
      <c r="CQ11" s="20"/>
      <c r="CR11" s="27">
        <v>48.03</v>
      </c>
      <c r="CS11" s="20">
        <v>19.5</v>
      </c>
      <c r="CT11" s="20"/>
      <c r="CU11" s="20"/>
      <c r="CV11" s="20"/>
      <c r="CW11" s="20"/>
      <c r="CX11" s="20"/>
      <c r="CY11" s="28">
        <v>1605.76</v>
      </c>
      <c r="CZ11" s="27">
        <v>479.15</v>
      </c>
      <c r="DA11" s="27">
        <v>159.72</v>
      </c>
      <c r="DB11" s="27">
        <v>24.84</v>
      </c>
      <c r="DC11" s="27">
        <v>41.88</v>
      </c>
      <c r="DD11" s="20"/>
      <c r="DE11" s="27">
        <v>24.13</v>
      </c>
      <c r="DF11" s="28">
        <v>729.72</v>
      </c>
      <c r="DG11" s="28">
        <v>5540.75</v>
      </c>
    </row>
    <row r="12" spans="2:111" s="31" customFormat="1" ht="14.5" x14ac:dyDescent="0.35">
      <c r="B12" s="20">
        <v>6</v>
      </c>
      <c r="C12" s="20" t="s">
        <v>187</v>
      </c>
      <c r="D12" s="20" t="s">
        <v>105</v>
      </c>
      <c r="E12" s="20" t="s">
        <v>191</v>
      </c>
      <c r="F12" s="20" t="s">
        <v>335</v>
      </c>
      <c r="G12" s="20" t="s">
        <v>336</v>
      </c>
      <c r="H12" s="20" t="s">
        <v>337</v>
      </c>
      <c r="I12" s="20" t="s">
        <v>58</v>
      </c>
      <c r="J12" s="20" t="s">
        <v>191</v>
      </c>
      <c r="K12" s="20" t="s">
        <v>59</v>
      </c>
      <c r="L12" s="21">
        <v>33714</v>
      </c>
      <c r="M12" s="20" t="s">
        <v>338</v>
      </c>
      <c r="N12" s="20" t="s">
        <v>129</v>
      </c>
      <c r="O12" s="20" t="s">
        <v>70</v>
      </c>
      <c r="P12" s="20" t="s">
        <v>71</v>
      </c>
      <c r="Q12" s="20" t="s">
        <v>72</v>
      </c>
      <c r="R12" s="20" t="s">
        <v>779</v>
      </c>
      <c r="S12" s="20" t="s">
        <v>782</v>
      </c>
      <c r="T12" s="20" t="s">
        <v>63</v>
      </c>
      <c r="U12" s="20" t="s">
        <v>64</v>
      </c>
      <c r="V12" s="20" t="s">
        <v>785</v>
      </c>
      <c r="W12" s="20" t="s">
        <v>896</v>
      </c>
      <c r="X12" s="20" t="s">
        <v>897</v>
      </c>
      <c r="Y12" s="20" t="s">
        <v>63</v>
      </c>
      <c r="Z12" s="20" t="s">
        <v>1533</v>
      </c>
      <c r="AA12" s="20" t="s">
        <v>1534</v>
      </c>
      <c r="AB12" s="21">
        <v>45460</v>
      </c>
      <c r="AC12" s="20"/>
      <c r="AD12" s="20"/>
      <c r="AE12" s="27">
        <v>26</v>
      </c>
      <c r="AF12" s="20"/>
      <c r="AG12" s="27">
        <v>4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0" t="s">
        <v>1784</v>
      </c>
      <c r="AR12" s="20" t="s">
        <v>1784</v>
      </c>
      <c r="AS12" s="29">
        <v>20800</v>
      </c>
      <c r="AT12" s="63"/>
      <c r="AU12" s="27">
        <v>18026.669999999998</v>
      </c>
      <c r="AV12" s="20"/>
      <c r="AW12" s="20"/>
      <c r="AX12" s="20"/>
      <c r="AY12" s="20"/>
      <c r="AZ12" s="27">
        <v>2776.03</v>
      </c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7">
        <v>13.5</v>
      </c>
      <c r="BP12" s="20"/>
      <c r="BQ12" s="20"/>
      <c r="BR12" s="20"/>
      <c r="BS12" s="27">
        <v>48.03</v>
      </c>
      <c r="BT12" s="20"/>
      <c r="BU12" s="20"/>
      <c r="BV12" s="20"/>
      <c r="BW12" s="20"/>
      <c r="BX12" s="20"/>
      <c r="BY12" s="28">
        <v>20864.23</v>
      </c>
      <c r="BZ12" s="20"/>
      <c r="CA12" s="20"/>
      <c r="CB12" s="20"/>
      <c r="CC12" s="27">
        <v>3575.68</v>
      </c>
      <c r="CD12" s="20"/>
      <c r="CE12" s="27">
        <v>2081.62</v>
      </c>
      <c r="CF12" s="20"/>
      <c r="CG12" s="27">
        <v>166.93</v>
      </c>
      <c r="CH12" s="20"/>
      <c r="CI12" s="27">
        <v>130.22</v>
      </c>
      <c r="CJ12" s="20"/>
      <c r="CK12" s="20"/>
      <c r="CL12" s="20"/>
      <c r="CM12" s="27">
        <v>13.5</v>
      </c>
      <c r="CN12" s="20"/>
      <c r="CO12" s="20"/>
      <c r="CP12" s="20"/>
      <c r="CQ12" s="20"/>
      <c r="CR12" s="27">
        <v>48.03</v>
      </c>
      <c r="CS12" s="20"/>
      <c r="CT12" s="20"/>
      <c r="CU12" s="20"/>
      <c r="CV12" s="20"/>
      <c r="CW12" s="20"/>
      <c r="CX12" s="20"/>
      <c r="CY12" s="28">
        <v>6015.98</v>
      </c>
      <c r="CZ12" s="27">
        <v>1405.09</v>
      </c>
      <c r="DA12" s="27">
        <v>468.36</v>
      </c>
      <c r="DB12" s="27">
        <v>42.65</v>
      </c>
      <c r="DC12" s="27">
        <v>122.82</v>
      </c>
      <c r="DD12" s="20"/>
      <c r="DE12" s="27">
        <v>41.43</v>
      </c>
      <c r="DF12" s="28">
        <v>2080.35</v>
      </c>
      <c r="DG12" s="28">
        <v>14848.25</v>
      </c>
    </row>
    <row r="13" spans="2:111" s="31" customFormat="1" ht="14.5" x14ac:dyDescent="0.35">
      <c r="B13" s="20">
        <v>119</v>
      </c>
      <c r="C13" s="20" t="s">
        <v>187</v>
      </c>
      <c r="D13" s="20" t="s">
        <v>109</v>
      </c>
      <c r="E13" s="20" t="s">
        <v>1215</v>
      </c>
      <c r="F13" s="20" t="s">
        <v>1216</v>
      </c>
      <c r="G13" s="20" t="s">
        <v>1217</v>
      </c>
      <c r="H13" s="20" t="s">
        <v>1218</v>
      </c>
      <c r="I13" s="20" t="s">
        <v>58</v>
      </c>
      <c r="J13" s="20" t="s">
        <v>1215</v>
      </c>
      <c r="K13" s="20" t="s">
        <v>66</v>
      </c>
      <c r="L13" s="21">
        <v>35431</v>
      </c>
      <c r="M13" s="20" t="s">
        <v>1219</v>
      </c>
      <c r="N13" s="20" t="s">
        <v>327</v>
      </c>
      <c r="O13" s="20" t="s">
        <v>67</v>
      </c>
      <c r="P13" s="20" t="s">
        <v>1051</v>
      </c>
      <c r="Q13" s="20" t="s">
        <v>1052</v>
      </c>
      <c r="R13" s="20" t="s">
        <v>783</v>
      </c>
      <c r="S13" s="20" t="s">
        <v>780</v>
      </c>
      <c r="T13" s="20" t="s">
        <v>63</v>
      </c>
      <c r="U13" s="20" t="s">
        <v>64</v>
      </c>
      <c r="V13" s="20" t="s">
        <v>1220</v>
      </c>
      <c r="W13" s="20" t="s">
        <v>896</v>
      </c>
      <c r="X13" s="20" t="s">
        <v>1221</v>
      </c>
      <c r="Y13" s="20" t="s">
        <v>63</v>
      </c>
      <c r="Z13" s="20" t="s">
        <v>1529</v>
      </c>
      <c r="AA13" s="20" t="s">
        <v>1638</v>
      </c>
      <c r="AB13" s="21">
        <v>45748</v>
      </c>
      <c r="AC13" s="20"/>
      <c r="AD13" s="20"/>
      <c r="AE13" s="27">
        <v>30</v>
      </c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>
        <v>62</v>
      </c>
      <c r="AR13" s="20" t="s">
        <v>1784</v>
      </c>
      <c r="AS13" s="29">
        <v>2100</v>
      </c>
      <c r="AT13" s="63"/>
      <c r="AU13" s="27">
        <v>2100</v>
      </c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7">
        <v>373.2</v>
      </c>
      <c r="BP13" s="20"/>
      <c r="BQ13" s="20"/>
      <c r="BR13" s="20"/>
      <c r="BS13" s="27">
        <v>144.1</v>
      </c>
      <c r="BT13" s="20"/>
      <c r="BU13" s="20"/>
      <c r="BV13" s="20"/>
      <c r="BW13" s="20">
        <v>81.38</v>
      </c>
      <c r="BX13" s="20"/>
      <c r="BY13" s="28">
        <v>2698.68</v>
      </c>
      <c r="BZ13" s="20"/>
      <c r="CA13" s="20">
        <v>840</v>
      </c>
      <c r="CB13" s="20"/>
      <c r="CC13" s="27"/>
      <c r="CD13" s="20"/>
      <c r="CE13" s="27">
        <v>255.46</v>
      </c>
      <c r="CF13" s="20"/>
      <c r="CG13" s="27">
        <v>35</v>
      </c>
      <c r="CH13" s="20"/>
      <c r="CI13" s="20"/>
      <c r="CJ13" s="20"/>
      <c r="CK13" s="20"/>
      <c r="CL13" s="20"/>
      <c r="CM13" s="27">
        <v>373.2</v>
      </c>
      <c r="CN13" s="20"/>
      <c r="CO13" s="20"/>
      <c r="CP13" s="20"/>
      <c r="CQ13" s="20"/>
      <c r="CR13" s="27">
        <v>144.1</v>
      </c>
      <c r="CS13" s="20"/>
      <c r="CT13" s="20"/>
      <c r="CU13" s="20"/>
      <c r="CV13" s="20"/>
      <c r="CW13" s="20"/>
      <c r="CX13" s="20"/>
      <c r="CY13" s="28">
        <v>1647.76</v>
      </c>
      <c r="CZ13" s="27">
        <v>229.91</v>
      </c>
      <c r="DA13" s="27"/>
      <c r="DB13" s="27">
        <v>8.94</v>
      </c>
      <c r="DC13" s="27">
        <v>15.07</v>
      </c>
      <c r="DD13" s="20">
        <v>19.16</v>
      </c>
      <c r="DE13" s="27">
        <v>8.69</v>
      </c>
      <c r="DF13" s="28">
        <v>281.77</v>
      </c>
      <c r="DG13" s="28">
        <v>1050.92</v>
      </c>
    </row>
    <row r="14" spans="2:111" s="33" customFormat="1" ht="14.5" x14ac:dyDescent="0.35">
      <c r="B14" s="20">
        <v>26</v>
      </c>
      <c r="C14" s="20" t="s">
        <v>187</v>
      </c>
      <c r="D14" s="20" t="s">
        <v>105</v>
      </c>
      <c r="E14" s="20" t="s">
        <v>206</v>
      </c>
      <c r="F14" s="20" t="s">
        <v>408</v>
      </c>
      <c r="G14" s="20" t="s">
        <v>118</v>
      </c>
      <c r="H14" s="20" t="s">
        <v>409</v>
      </c>
      <c r="I14" s="20" t="s">
        <v>58</v>
      </c>
      <c r="J14" s="20" t="s">
        <v>206</v>
      </c>
      <c r="K14" s="20" t="s">
        <v>66</v>
      </c>
      <c r="L14" s="21">
        <v>36242</v>
      </c>
      <c r="M14" s="20" t="s">
        <v>410</v>
      </c>
      <c r="N14" s="20" t="s">
        <v>129</v>
      </c>
      <c r="O14" s="20" t="s">
        <v>60</v>
      </c>
      <c r="P14" s="20" t="s">
        <v>76</v>
      </c>
      <c r="Q14" s="20" t="s">
        <v>77</v>
      </c>
      <c r="R14" s="20" t="s">
        <v>783</v>
      </c>
      <c r="S14" s="20" t="s">
        <v>106</v>
      </c>
      <c r="T14" s="20" t="s">
        <v>65</v>
      </c>
      <c r="U14" s="20" t="s">
        <v>73</v>
      </c>
      <c r="V14" s="20" t="s">
        <v>800</v>
      </c>
      <c r="W14" s="20" t="s">
        <v>891</v>
      </c>
      <c r="X14" s="20" t="s">
        <v>913</v>
      </c>
      <c r="Y14" s="20" t="s">
        <v>137</v>
      </c>
      <c r="Z14" s="20" t="s">
        <v>1529</v>
      </c>
      <c r="AA14" s="20" t="s">
        <v>1554</v>
      </c>
      <c r="AB14" s="21">
        <v>45117</v>
      </c>
      <c r="AC14" s="20"/>
      <c r="AD14" s="20"/>
      <c r="AE14" s="27">
        <v>30</v>
      </c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 t="s">
        <v>1784</v>
      </c>
      <c r="AR14" s="20" t="s">
        <v>1784</v>
      </c>
      <c r="AS14" s="29">
        <v>8000</v>
      </c>
      <c r="AT14" s="63"/>
      <c r="AU14" s="27">
        <v>8000</v>
      </c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7"/>
      <c r="BP14" s="20"/>
      <c r="BQ14" s="20"/>
      <c r="BR14" s="20"/>
      <c r="BS14" s="27">
        <v>48.03</v>
      </c>
      <c r="BT14" s="20"/>
      <c r="BU14" s="20"/>
      <c r="BV14" s="20"/>
      <c r="BW14" s="20"/>
      <c r="BX14" s="20"/>
      <c r="BY14" s="28">
        <v>8048.03</v>
      </c>
      <c r="BZ14" s="20"/>
      <c r="CA14" s="20"/>
      <c r="CB14" s="20"/>
      <c r="CC14" s="27">
        <v>769.08</v>
      </c>
      <c r="CD14" s="20"/>
      <c r="CE14" s="27">
        <v>800</v>
      </c>
      <c r="CF14" s="20"/>
      <c r="CG14" s="27">
        <v>109.6</v>
      </c>
      <c r="CH14" s="20"/>
      <c r="CI14" s="20"/>
      <c r="CJ14" s="20"/>
      <c r="CK14" s="20"/>
      <c r="CL14" s="20"/>
      <c r="CM14" s="27"/>
      <c r="CN14" s="20"/>
      <c r="CO14" s="20"/>
      <c r="CP14" s="20"/>
      <c r="CQ14" s="20"/>
      <c r="CR14" s="27">
        <v>48.03</v>
      </c>
      <c r="CS14" s="20"/>
      <c r="CT14" s="20"/>
      <c r="CU14" s="20"/>
      <c r="CV14" s="20"/>
      <c r="CW14" s="20"/>
      <c r="CX14" s="20"/>
      <c r="CY14" s="28">
        <v>1726.71</v>
      </c>
      <c r="CZ14" s="27">
        <v>540</v>
      </c>
      <c r="DA14" s="27">
        <v>180</v>
      </c>
      <c r="DB14" s="27">
        <v>28</v>
      </c>
      <c r="DC14" s="27">
        <v>47.2</v>
      </c>
      <c r="DD14" s="20"/>
      <c r="DE14" s="27">
        <v>27.2</v>
      </c>
      <c r="DF14" s="28">
        <v>822.4</v>
      </c>
      <c r="DG14" s="28">
        <v>6321.32</v>
      </c>
    </row>
    <row r="15" spans="2:111" s="31" customFormat="1" ht="14.5" x14ac:dyDescent="0.35">
      <c r="B15" s="20">
        <v>107</v>
      </c>
      <c r="C15" s="20" t="s">
        <v>187</v>
      </c>
      <c r="D15" s="20" t="s">
        <v>105</v>
      </c>
      <c r="E15" s="20" t="s">
        <v>262</v>
      </c>
      <c r="F15" s="20" t="s">
        <v>612</v>
      </c>
      <c r="G15" s="20" t="s">
        <v>119</v>
      </c>
      <c r="H15" s="20" t="s">
        <v>613</v>
      </c>
      <c r="I15" s="20" t="s">
        <v>58</v>
      </c>
      <c r="J15" s="20" t="s">
        <v>262</v>
      </c>
      <c r="K15" s="20" t="s">
        <v>59</v>
      </c>
      <c r="L15" s="21">
        <v>30416</v>
      </c>
      <c r="M15" s="20" t="s">
        <v>614</v>
      </c>
      <c r="N15" s="20" t="s">
        <v>129</v>
      </c>
      <c r="O15" s="20" t="s">
        <v>60</v>
      </c>
      <c r="P15" s="20" t="s">
        <v>321</v>
      </c>
      <c r="Q15" s="20" t="s">
        <v>322</v>
      </c>
      <c r="R15" s="20" t="s">
        <v>783</v>
      </c>
      <c r="S15" s="20" t="s">
        <v>106</v>
      </c>
      <c r="T15" s="20" t="s">
        <v>65</v>
      </c>
      <c r="U15" s="20" t="s">
        <v>73</v>
      </c>
      <c r="V15" s="20" t="s">
        <v>847</v>
      </c>
      <c r="W15" s="20" t="s">
        <v>893</v>
      </c>
      <c r="X15" s="20" t="s">
        <v>967</v>
      </c>
      <c r="Y15" s="20" t="s">
        <v>65</v>
      </c>
      <c r="Z15" s="20" t="s">
        <v>1529</v>
      </c>
      <c r="AA15" s="20" t="s">
        <v>1626</v>
      </c>
      <c r="AB15" s="21">
        <v>44840</v>
      </c>
      <c r="AC15" s="20"/>
      <c r="AD15" s="20"/>
      <c r="AE15" s="27">
        <v>30</v>
      </c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>
        <v>1</v>
      </c>
      <c r="AQ15" s="20" t="s">
        <v>1784</v>
      </c>
      <c r="AR15" s="20" t="s">
        <v>1784</v>
      </c>
      <c r="AS15" s="29">
        <v>1572.2</v>
      </c>
      <c r="AT15" s="63">
        <v>113</v>
      </c>
      <c r="AU15" s="27">
        <v>1572.2</v>
      </c>
      <c r="AV15" s="20">
        <v>113</v>
      </c>
      <c r="AW15" s="20"/>
      <c r="AX15" s="20"/>
      <c r="AY15" s="20"/>
      <c r="AZ15" s="20"/>
      <c r="BA15" s="20"/>
      <c r="BB15" s="20"/>
      <c r="BC15" s="20"/>
      <c r="BD15" s="20"/>
      <c r="BE15" s="20">
        <v>390</v>
      </c>
      <c r="BF15" s="20"/>
      <c r="BG15" s="20">
        <v>520</v>
      </c>
      <c r="BH15" s="20"/>
      <c r="BI15" s="20"/>
      <c r="BJ15" s="20"/>
      <c r="BK15" s="20"/>
      <c r="BL15" s="20"/>
      <c r="BM15" s="20"/>
      <c r="BN15" s="20">
        <v>112.35</v>
      </c>
      <c r="BO15" s="27"/>
      <c r="BP15" s="20"/>
      <c r="BQ15" s="20"/>
      <c r="BR15" s="20"/>
      <c r="BS15" s="27">
        <v>48.03</v>
      </c>
      <c r="BT15" s="20"/>
      <c r="BU15" s="20">
        <v>768.13</v>
      </c>
      <c r="BV15" s="20"/>
      <c r="BW15" s="20"/>
      <c r="BX15" s="20"/>
      <c r="BY15" s="28">
        <v>3523.71</v>
      </c>
      <c r="BZ15" s="20"/>
      <c r="CA15" s="20"/>
      <c r="CB15" s="20"/>
      <c r="CC15" s="27"/>
      <c r="CD15" s="20"/>
      <c r="CE15" s="27">
        <v>295.57</v>
      </c>
      <c r="CF15" s="20">
        <v>49.95</v>
      </c>
      <c r="CG15" s="27">
        <v>40.49</v>
      </c>
      <c r="CH15" s="20"/>
      <c r="CI15" s="20"/>
      <c r="CJ15" s="20"/>
      <c r="CK15" s="20"/>
      <c r="CL15" s="20"/>
      <c r="CM15" s="27"/>
      <c r="CN15" s="20"/>
      <c r="CO15" s="20"/>
      <c r="CP15" s="20"/>
      <c r="CQ15" s="20"/>
      <c r="CR15" s="27">
        <v>48.03</v>
      </c>
      <c r="CS15" s="20"/>
      <c r="CT15" s="20"/>
      <c r="CU15" s="20"/>
      <c r="CV15" s="20"/>
      <c r="CW15" s="20">
        <v>255</v>
      </c>
      <c r="CX15" s="20"/>
      <c r="CY15" s="28">
        <v>689.04</v>
      </c>
      <c r="CZ15" s="27">
        <v>199.51</v>
      </c>
      <c r="DA15" s="27">
        <v>66.5</v>
      </c>
      <c r="DB15" s="27">
        <v>10.34</v>
      </c>
      <c r="DC15" s="27">
        <v>17.440000000000001</v>
      </c>
      <c r="DD15" s="20"/>
      <c r="DE15" s="27">
        <v>10.050000000000001</v>
      </c>
      <c r="DF15" s="28">
        <v>303.83999999999997</v>
      </c>
      <c r="DG15" s="28">
        <v>2834.67</v>
      </c>
    </row>
    <row r="16" spans="2:111" s="31" customFormat="1" ht="14.5" x14ac:dyDescent="0.35">
      <c r="B16" s="32">
        <v>139</v>
      </c>
      <c r="C16" s="32" t="s">
        <v>187</v>
      </c>
      <c r="D16" s="32" t="s">
        <v>105</v>
      </c>
      <c r="E16" s="32" t="s">
        <v>279</v>
      </c>
      <c r="F16" s="32" t="s">
        <v>666</v>
      </c>
      <c r="G16" s="32" t="s">
        <v>667</v>
      </c>
      <c r="H16" s="32" t="s">
        <v>668</v>
      </c>
      <c r="I16" s="32" t="s">
        <v>58</v>
      </c>
      <c r="J16" s="32" t="s">
        <v>279</v>
      </c>
      <c r="K16" s="32" t="s">
        <v>59</v>
      </c>
      <c r="L16" s="37">
        <v>28964</v>
      </c>
      <c r="M16" s="32" t="s">
        <v>614</v>
      </c>
      <c r="N16" s="32" t="s">
        <v>132</v>
      </c>
      <c r="O16" s="32" t="s">
        <v>60</v>
      </c>
      <c r="P16" s="32" t="s">
        <v>346</v>
      </c>
      <c r="Q16" s="32" t="s">
        <v>347</v>
      </c>
      <c r="R16" s="32" t="s">
        <v>783</v>
      </c>
      <c r="S16" s="32" t="s">
        <v>787</v>
      </c>
      <c r="T16" s="32" t="s">
        <v>96</v>
      </c>
      <c r="U16" s="32" t="s">
        <v>73</v>
      </c>
      <c r="V16" s="32" t="s">
        <v>859</v>
      </c>
      <c r="W16" s="32" t="s">
        <v>891</v>
      </c>
      <c r="X16" s="32" t="s">
        <v>984</v>
      </c>
      <c r="Y16" s="32" t="s">
        <v>65</v>
      </c>
      <c r="Z16" s="32" t="s">
        <v>1529</v>
      </c>
      <c r="AA16" s="32" t="s">
        <v>1651</v>
      </c>
      <c r="AB16" s="37">
        <v>45390</v>
      </c>
      <c r="AC16" s="50">
        <v>45911</v>
      </c>
      <c r="AD16" s="32" t="s">
        <v>1023</v>
      </c>
      <c r="AE16" s="36">
        <v>11</v>
      </c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>
        <v>1</v>
      </c>
      <c r="AQ16" s="32" t="s">
        <v>1784</v>
      </c>
      <c r="AR16" s="32" t="s">
        <v>1784</v>
      </c>
      <c r="AS16" s="38">
        <v>1802.5</v>
      </c>
      <c r="AT16" s="68">
        <v>113</v>
      </c>
      <c r="AU16" s="36">
        <v>660.92</v>
      </c>
      <c r="AV16" s="32">
        <v>113</v>
      </c>
      <c r="AW16" s="32"/>
      <c r="AX16" s="32"/>
      <c r="AY16" s="32"/>
      <c r="AZ16" s="32"/>
      <c r="BA16" s="32"/>
      <c r="BB16" s="32"/>
      <c r="BC16" s="32"/>
      <c r="BD16" s="32"/>
      <c r="BE16" s="32">
        <v>165</v>
      </c>
      <c r="BF16" s="32"/>
      <c r="BG16" s="32">
        <v>190.67</v>
      </c>
      <c r="BH16" s="32"/>
      <c r="BI16" s="32"/>
      <c r="BJ16" s="32"/>
      <c r="BK16" s="32"/>
      <c r="BL16" s="32"/>
      <c r="BM16" s="32"/>
      <c r="BN16" s="32">
        <v>127.7</v>
      </c>
      <c r="BO16" s="36"/>
      <c r="BP16" s="32"/>
      <c r="BQ16" s="32"/>
      <c r="BR16" s="32"/>
      <c r="BS16" s="36"/>
      <c r="BT16" s="32"/>
      <c r="BU16" s="32">
        <v>125.93</v>
      </c>
      <c r="BV16" s="32"/>
      <c r="BW16" s="32"/>
      <c r="BX16" s="32"/>
      <c r="BY16" s="39">
        <v>1383.22</v>
      </c>
      <c r="BZ16" s="32"/>
      <c r="CA16" s="32"/>
      <c r="CB16" s="32"/>
      <c r="CC16" s="36"/>
      <c r="CD16" s="32"/>
      <c r="CE16" s="36">
        <v>119.26</v>
      </c>
      <c r="CF16" s="32">
        <v>18.48</v>
      </c>
      <c r="CG16" s="36">
        <v>16.34</v>
      </c>
      <c r="CH16" s="32"/>
      <c r="CI16" s="32"/>
      <c r="CJ16" s="32"/>
      <c r="CK16" s="32"/>
      <c r="CL16" s="32"/>
      <c r="CM16" s="36"/>
      <c r="CN16" s="32"/>
      <c r="CO16" s="32"/>
      <c r="CP16" s="32"/>
      <c r="CQ16" s="32">
        <v>300.42</v>
      </c>
      <c r="CR16" s="36"/>
      <c r="CS16" s="32"/>
      <c r="CT16" s="32"/>
      <c r="CU16" s="32"/>
      <c r="CV16" s="32"/>
      <c r="CW16" s="32"/>
      <c r="CX16" s="32"/>
      <c r="CY16" s="39">
        <v>454.5</v>
      </c>
      <c r="CZ16" s="36">
        <v>80.5</v>
      </c>
      <c r="DA16" s="36">
        <v>26.83</v>
      </c>
      <c r="DB16" s="36">
        <v>4.17</v>
      </c>
      <c r="DC16" s="36">
        <v>7.04</v>
      </c>
      <c r="DD16" s="32"/>
      <c r="DE16" s="36">
        <v>4.05</v>
      </c>
      <c r="DF16" s="39">
        <v>122.59</v>
      </c>
      <c r="DG16" s="39">
        <v>928.72</v>
      </c>
    </row>
    <row r="17" spans="2:111" s="33" customFormat="1" ht="14.5" x14ac:dyDescent="0.35">
      <c r="B17" s="32">
        <v>11</v>
      </c>
      <c r="C17" s="32" t="s">
        <v>187</v>
      </c>
      <c r="D17" s="32" t="s">
        <v>105</v>
      </c>
      <c r="E17" s="32" t="s">
        <v>196</v>
      </c>
      <c r="F17" s="32" t="s">
        <v>352</v>
      </c>
      <c r="G17" s="32" t="s">
        <v>355</v>
      </c>
      <c r="H17" s="32" t="s">
        <v>356</v>
      </c>
      <c r="I17" s="32" t="s">
        <v>58</v>
      </c>
      <c r="J17" s="32" t="s">
        <v>196</v>
      </c>
      <c r="K17" s="32" t="s">
        <v>66</v>
      </c>
      <c r="L17" s="37">
        <v>30733</v>
      </c>
      <c r="M17" s="32" t="s">
        <v>357</v>
      </c>
      <c r="N17" s="32" t="s">
        <v>327</v>
      </c>
      <c r="O17" s="32" t="s">
        <v>67</v>
      </c>
      <c r="P17" s="32" t="s">
        <v>358</v>
      </c>
      <c r="Q17" s="32" t="s">
        <v>359</v>
      </c>
      <c r="R17" s="32" t="s">
        <v>779</v>
      </c>
      <c r="S17" s="32" t="s">
        <v>782</v>
      </c>
      <c r="T17" s="32" t="s">
        <v>96</v>
      </c>
      <c r="U17" s="32" t="s">
        <v>64</v>
      </c>
      <c r="V17" s="32" t="s">
        <v>790</v>
      </c>
      <c r="W17" s="32" t="s">
        <v>891</v>
      </c>
      <c r="X17" s="32" t="s">
        <v>903</v>
      </c>
      <c r="Y17" s="32" t="s">
        <v>137</v>
      </c>
      <c r="Z17" s="32" t="s">
        <v>1529</v>
      </c>
      <c r="AA17" s="32" t="s">
        <v>1540</v>
      </c>
      <c r="AB17" s="37">
        <v>44249</v>
      </c>
      <c r="AC17" s="50">
        <v>45919</v>
      </c>
      <c r="AD17" s="32" t="s">
        <v>1488</v>
      </c>
      <c r="AE17" s="36">
        <v>19</v>
      </c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1784</v>
      </c>
      <c r="AR17" s="32" t="s">
        <v>1784</v>
      </c>
      <c r="AS17" s="38">
        <v>10367</v>
      </c>
      <c r="AT17" s="38">
        <v>113</v>
      </c>
      <c r="AU17" s="36">
        <v>6565.77</v>
      </c>
      <c r="AV17" s="36">
        <v>113</v>
      </c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9">
        <v>6678.77</v>
      </c>
      <c r="BZ17" s="32"/>
      <c r="CA17" s="32"/>
      <c r="CB17" s="32"/>
      <c r="CC17" s="32"/>
      <c r="CD17" s="32"/>
      <c r="CE17" s="36">
        <v>667.88</v>
      </c>
      <c r="CF17" s="36">
        <v>103.52</v>
      </c>
      <c r="CG17" s="36">
        <v>91.5</v>
      </c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9">
        <v>862.9</v>
      </c>
      <c r="CZ17" s="36">
        <v>450.82</v>
      </c>
      <c r="DA17" s="36">
        <v>150.27000000000001</v>
      </c>
      <c r="DB17" s="36">
        <v>23.38</v>
      </c>
      <c r="DC17" s="36">
        <v>39.4</v>
      </c>
      <c r="DD17" s="36">
        <v>50.09</v>
      </c>
      <c r="DE17" s="36">
        <v>22.71</v>
      </c>
      <c r="DF17" s="39">
        <v>736.67</v>
      </c>
      <c r="DG17" s="39">
        <v>5815.87</v>
      </c>
    </row>
    <row r="18" spans="2:111" s="31" customFormat="1" ht="14.5" x14ac:dyDescent="0.35">
      <c r="B18" s="20">
        <v>12</v>
      </c>
      <c r="C18" s="20" t="s">
        <v>187</v>
      </c>
      <c r="D18" s="20" t="s">
        <v>105</v>
      </c>
      <c r="E18" s="20" t="s">
        <v>197</v>
      </c>
      <c r="F18" s="20" t="s">
        <v>360</v>
      </c>
      <c r="G18" s="20" t="s">
        <v>361</v>
      </c>
      <c r="H18" s="20" t="s">
        <v>362</v>
      </c>
      <c r="I18" s="20" t="s">
        <v>58</v>
      </c>
      <c r="J18" s="20" t="s">
        <v>197</v>
      </c>
      <c r="K18" s="20" t="s">
        <v>66</v>
      </c>
      <c r="L18" s="21">
        <v>33897</v>
      </c>
      <c r="M18" s="20" t="s">
        <v>363</v>
      </c>
      <c r="N18" s="20" t="s">
        <v>129</v>
      </c>
      <c r="O18" s="20" t="s">
        <v>67</v>
      </c>
      <c r="P18" s="20" t="s">
        <v>364</v>
      </c>
      <c r="Q18" s="20" t="s">
        <v>365</v>
      </c>
      <c r="R18" s="20" t="s">
        <v>779</v>
      </c>
      <c r="S18" s="20" t="s">
        <v>782</v>
      </c>
      <c r="T18" s="20" t="s">
        <v>63</v>
      </c>
      <c r="U18" s="20" t="s">
        <v>64</v>
      </c>
      <c r="V18" s="20" t="s">
        <v>791</v>
      </c>
      <c r="W18" s="20" t="s">
        <v>891</v>
      </c>
      <c r="X18" s="20" t="s">
        <v>904</v>
      </c>
      <c r="Y18" s="20" t="s">
        <v>1273</v>
      </c>
      <c r="Z18" s="20" t="s">
        <v>1529</v>
      </c>
      <c r="AA18" s="20" t="s">
        <v>1541</v>
      </c>
      <c r="AB18" s="21">
        <v>44746</v>
      </c>
      <c r="AC18" s="20"/>
      <c r="AD18" s="20"/>
      <c r="AE18" s="27">
        <v>30</v>
      </c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 t="s">
        <v>1784</v>
      </c>
      <c r="AR18" s="20" t="s">
        <v>1784</v>
      </c>
      <c r="AS18" s="29">
        <v>8369</v>
      </c>
      <c r="AT18" s="63"/>
      <c r="AU18" s="27">
        <v>8369</v>
      </c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7">
        <v>86.5</v>
      </c>
      <c r="BP18" s="20"/>
      <c r="BQ18" s="20"/>
      <c r="BR18" s="20"/>
      <c r="BS18" s="27">
        <v>48.03</v>
      </c>
      <c r="BT18" s="20"/>
      <c r="BU18" s="20"/>
      <c r="BV18" s="20"/>
      <c r="BW18" s="20"/>
      <c r="BX18" s="20"/>
      <c r="BY18" s="28">
        <v>8503.5300000000007</v>
      </c>
      <c r="BZ18" s="20"/>
      <c r="CA18" s="20"/>
      <c r="CB18" s="20"/>
      <c r="CC18" s="27">
        <v>857.33</v>
      </c>
      <c r="CD18" s="20"/>
      <c r="CE18" s="27">
        <v>845.55</v>
      </c>
      <c r="CF18" s="20"/>
      <c r="CG18" s="27">
        <v>115.84</v>
      </c>
      <c r="CH18" s="20"/>
      <c r="CI18" s="20"/>
      <c r="CJ18" s="20"/>
      <c r="CK18" s="20"/>
      <c r="CL18" s="20"/>
      <c r="CM18" s="27">
        <v>86.5</v>
      </c>
      <c r="CN18" s="20"/>
      <c r="CO18" s="20"/>
      <c r="CP18" s="20"/>
      <c r="CQ18" s="20"/>
      <c r="CR18" s="27">
        <v>48.03</v>
      </c>
      <c r="CS18" s="20"/>
      <c r="CT18" s="20"/>
      <c r="CU18" s="20"/>
      <c r="CV18" s="20"/>
      <c r="CW18" s="20"/>
      <c r="CX18" s="20"/>
      <c r="CY18" s="28">
        <v>1953.25</v>
      </c>
      <c r="CZ18" s="27">
        <v>570.75</v>
      </c>
      <c r="DA18" s="27">
        <v>190.25</v>
      </c>
      <c r="DB18" s="27">
        <v>29.59</v>
      </c>
      <c r="DC18" s="27">
        <v>49.89</v>
      </c>
      <c r="DD18" s="20"/>
      <c r="DE18" s="27">
        <v>28.75</v>
      </c>
      <c r="DF18" s="28">
        <v>869.23</v>
      </c>
      <c r="DG18" s="28">
        <v>6550.28</v>
      </c>
    </row>
    <row r="19" spans="2:111" s="31" customFormat="1" ht="14.5" x14ac:dyDescent="0.35">
      <c r="B19" s="20">
        <v>162</v>
      </c>
      <c r="C19" s="20" t="s">
        <v>187</v>
      </c>
      <c r="D19" s="20" t="s">
        <v>109</v>
      </c>
      <c r="E19" s="20" t="s">
        <v>1249</v>
      </c>
      <c r="F19" s="20" t="s">
        <v>696</v>
      </c>
      <c r="G19" s="20" t="s">
        <v>1250</v>
      </c>
      <c r="H19" s="20" t="s">
        <v>774</v>
      </c>
      <c r="I19" s="20" t="s">
        <v>58</v>
      </c>
      <c r="J19" s="20" t="s">
        <v>1249</v>
      </c>
      <c r="K19" s="20" t="s">
        <v>59</v>
      </c>
      <c r="L19" s="21">
        <v>34531</v>
      </c>
      <c r="M19" s="20" t="s">
        <v>1219</v>
      </c>
      <c r="N19" s="20" t="s">
        <v>327</v>
      </c>
      <c r="O19" s="20" t="s">
        <v>67</v>
      </c>
      <c r="P19" s="20" t="s">
        <v>1051</v>
      </c>
      <c r="Q19" s="20" t="s">
        <v>1052</v>
      </c>
      <c r="R19" s="20" t="s">
        <v>783</v>
      </c>
      <c r="S19" s="20" t="s">
        <v>780</v>
      </c>
      <c r="T19" s="20" t="s">
        <v>65</v>
      </c>
      <c r="U19" s="20" t="s">
        <v>73</v>
      </c>
      <c r="V19" s="20" t="s">
        <v>1251</v>
      </c>
      <c r="W19" s="20" t="s">
        <v>891</v>
      </c>
      <c r="X19" s="20" t="s">
        <v>1252</v>
      </c>
      <c r="Y19" s="20" t="s">
        <v>65</v>
      </c>
      <c r="Z19" s="20" t="s">
        <v>1529</v>
      </c>
      <c r="AA19" s="20" t="s">
        <v>1669</v>
      </c>
      <c r="AB19" s="21">
        <v>45748</v>
      </c>
      <c r="AC19" s="20"/>
      <c r="AD19" s="20"/>
      <c r="AE19" s="27">
        <v>30</v>
      </c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>
        <v>20</v>
      </c>
      <c r="AR19" s="20">
        <v>32</v>
      </c>
      <c r="AS19" s="29">
        <v>2100</v>
      </c>
      <c r="AT19" s="63"/>
      <c r="AU19" s="27">
        <v>2100</v>
      </c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7">
        <v>346.7</v>
      </c>
      <c r="BP19" s="20"/>
      <c r="BQ19" s="20"/>
      <c r="BR19" s="20"/>
      <c r="BS19" s="27">
        <v>144.1</v>
      </c>
      <c r="BT19" s="20"/>
      <c r="BU19" s="20"/>
      <c r="BV19" s="20">
        <v>154</v>
      </c>
      <c r="BW19" s="20">
        <v>26.25</v>
      </c>
      <c r="BX19" s="20"/>
      <c r="BY19" s="28">
        <v>2771.05</v>
      </c>
      <c r="BZ19" s="20"/>
      <c r="CA19" s="20">
        <v>840</v>
      </c>
      <c r="CB19" s="20"/>
      <c r="CC19" s="27"/>
      <c r="CD19" s="20"/>
      <c r="CE19" s="27">
        <v>262.7</v>
      </c>
      <c r="CF19" s="20"/>
      <c r="CG19" s="27">
        <v>35.99</v>
      </c>
      <c r="CH19" s="20"/>
      <c r="CI19" s="20"/>
      <c r="CJ19" s="20"/>
      <c r="CK19" s="20"/>
      <c r="CL19" s="20"/>
      <c r="CM19" s="27">
        <v>346.7</v>
      </c>
      <c r="CN19" s="20"/>
      <c r="CO19" s="20"/>
      <c r="CP19" s="20"/>
      <c r="CQ19" s="20"/>
      <c r="CR19" s="27">
        <v>144.1</v>
      </c>
      <c r="CS19" s="20"/>
      <c r="CT19" s="20"/>
      <c r="CU19" s="20"/>
      <c r="CV19" s="20"/>
      <c r="CW19" s="20"/>
      <c r="CX19" s="20"/>
      <c r="CY19" s="28">
        <v>1629.49</v>
      </c>
      <c r="CZ19" s="27">
        <v>177.32</v>
      </c>
      <c r="DA19" s="27">
        <v>59.11</v>
      </c>
      <c r="DB19" s="27">
        <v>9.19</v>
      </c>
      <c r="DC19" s="27">
        <v>15.5</v>
      </c>
      <c r="DD19" s="20"/>
      <c r="DE19" s="27">
        <v>8.93</v>
      </c>
      <c r="DF19" s="28">
        <v>270.05</v>
      </c>
      <c r="DG19" s="28">
        <v>1141.56</v>
      </c>
    </row>
    <row r="20" spans="2:111" s="31" customFormat="1" ht="14.5" x14ac:dyDescent="0.35">
      <c r="B20" s="20">
        <v>1</v>
      </c>
      <c r="C20" s="20" t="s">
        <v>187</v>
      </c>
      <c r="D20" s="20" t="s">
        <v>105</v>
      </c>
      <c r="E20" s="20" t="s">
        <v>188</v>
      </c>
      <c r="F20" s="20" t="s">
        <v>318</v>
      </c>
      <c r="G20" s="20" t="s">
        <v>108</v>
      </c>
      <c r="H20" s="20" t="s">
        <v>319</v>
      </c>
      <c r="I20" s="20" t="s">
        <v>58</v>
      </c>
      <c r="J20" s="20" t="s">
        <v>188</v>
      </c>
      <c r="K20" s="20" t="s">
        <v>66</v>
      </c>
      <c r="L20" s="21">
        <v>27177</v>
      </c>
      <c r="M20" s="20" t="s">
        <v>320</v>
      </c>
      <c r="N20" s="20" t="s">
        <v>129</v>
      </c>
      <c r="O20" s="20" t="s">
        <v>60</v>
      </c>
      <c r="P20" s="20" t="s">
        <v>321</v>
      </c>
      <c r="Q20" s="20" t="s">
        <v>322</v>
      </c>
      <c r="R20" s="20" t="s">
        <v>779</v>
      </c>
      <c r="S20" s="20" t="s">
        <v>780</v>
      </c>
      <c r="T20" s="20" t="s">
        <v>137</v>
      </c>
      <c r="U20" s="20" t="s">
        <v>64</v>
      </c>
      <c r="V20" s="20" t="s">
        <v>781</v>
      </c>
      <c r="W20" s="20" t="s">
        <v>891</v>
      </c>
      <c r="X20" s="20" t="s">
        <v>892</v>
      </c>
      <c r="Y20" s="20" t="s">
        <v>137</v>
      </c>
      <c r="Z20" s="20" t="s">
        <v>1529</v>
      </c>
      <c r="AA20" s="20" t="s">
        <v>1530</v>
      </c>
      <c r="AB20" s="21">
        <v>44272</v>
      </c>
      <c r="AC20" s="20"/>
      <c r="AD20" s="20"/>
      <c r="AE20" s="27">
        <v>29</v>
      </c>
      <c r="AF20" s="20"/>
      <c r="AG20" s="27">
        <v>1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 t="s">
        <v>1784</v>
      </c>
      <c r="AR20" s="20" t="s">
        <v>1784</v>
      </c>
      <c r="AS20" s="29">
        <v>2011.8</v>
      </c>
      <c r="AT20" s="29">
        <v>113</v>
      </c>
      <c r="AU20" s="27">
        <v>1944.74</v>
      </c>
      <c r="AV20" s="27">
        <v>113</v>
      </c>
      <c r="AW20" s="20"/>
      <c r="AX20" s="20"/>
      <c r="AY20" s="20"/>
      <c r="AZ20" s="27">
        <v>111.33</v>
      </c>
      <c r="BA20" s="20"/>
      <c r="BB20" s="20"/>
      <c r="BC20" s="20"/>
      <c r="BD20" s="20"/>
      <c r="BE20" s="27">
        <v>390</v>
      </c>
      <c r="BF20" s="20"/>
      <c r="BG20" s="27">
        <v>520</v>
      </c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7">
        <v>48.03</v>
      </c>
      <c r="BT20" s="20"/>
      <c r="BU20" s="27">
        <v>862.2</v>
      </c>
      <c r="BV20" s="20"/>
      <c r="BW20" s="20"/>
      <c r="BX20" s="20"/>
      <c r="BY20" s="28">
        <v>3989.3</v>
      </c>
      <c r="BZ20" s="20"/>
      <c r="CA20" s="20"/>
      <c r="CB20" s="20"/>
      <c r="CC20" s="27">
        <v>113.62</v>
      </c>
      <c r="CD20" s="20"/>
      <c r="CE20" s="27">
        <v>342.13</v>
      </c>
      <c r="CF20" s="20"/>
      <c r="CG20" s="27">
        <v>46.87</v>
      </c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7">
        <v>48.03</v>
      </c>
      <c r="CS20" s="27">
        <v>4.9000000000000004</v>
      </c>
      <c r="CT20" s="20"/>
      <c r="CU20" s="20"/>
      <c r="CV20" s="20"/>
      <c r="CW20" s="20"/>
      <c r="CX20" s="20"/>
      <c r="CY20" s="28">
        <v>555.54999999999995</v>
      </c>
      <c r="CZ20" s="27">
        <v>230.94</v>
      </c>
      <c r="DA20" s="27">
        <v>76.98</v>
      </c>
      <c r="DB20" s="27">
        <v>11.97</v>
      </c>
      <c r="DC20" s="27">
        <v>20.190000000000001</v>
      </c>
      <c r="DD20" s="20"/>
      <c r="DE20" s="27">
        <v>11.63</v>
      </c>
      <c r="DF20" s="28">
        <v>351.71</v>
      </c>
      <c r="DG20" s="28">
        <v>3433.75</v>
      </c>
    </row>
    <row r="21" spans="2:111" s="31" customFormat="1" ht="14.5" x14ac:dyDescent="0.35">
      <c r="B21" s="20">
        <v>15</v>
      </c>
      <c r="C21" s="20" t="s">
        <v>187</v>
      </c>
      <c r="D21" s="20" t="s">
        <v>105</v>
      </c>
      <c r="E21" s="20" t="s">
        <v>199</v>
      </c>
      <c r="F21" s="20" t="s">
        <v>372</v>
      </c>
      <c r="G21" s="20" t="s">
        <v>373</v>
      </c>
      <c r="H21" s="20" t="s">
        <v>374</v>
      </c>
      <c r="I21" s="20" t="s">
        <v>58</v>
      </c>
      <c r="J21" s="20" t="s">
        <v>199</v>
      </c>
      <c r="K21" s="20" t="s">
        <v>59</v>
      </c>
      <c r="L21" s="21">
        <v>34629</v>
      </c>
      <c r="M21" s="20" t="s">
        <v>375</v>
      </c>
      <c r="N21" s="20" t="s">
        <v>129</v>
      </c>
      <c r="O21" s="20" t="s">
        <v>67</v>
      </c>
      <c r="P21" s="20" t="s">
        <v>68</v>
      </c>
      <c r="Q21" s="20" t="s">
        <v>69</v>
      </c>
      <c r="R21" s="20" t="s">
        <v>783</v>
      </c>
      <c r="S21" s="20" t="s">
        <v>787</v>
      </c>
      <c r="T21" s="20" t="s">
        <v>63</v>
      </c>
      <c r="U21" s="20" t="s">
        <v>64</v>
      </c>
      <c r="V21" s="20" t="s">
        <v>1385</v>
      </c>
      <c r="W21" s="20" t="s">
        <v>896</v>
      </c>
      <c r="X21" s="20" t="s">
        <v>906</v>
      </c>
      <c r="Y21" s="20" t="s">
        <v>63</v>
      </c>
      <c r="Z21" s="20" t="s">
        <v>1529</v>
      </c>
      <c r="AA21" s="20" t="s">
        <v>1544</v>
      </c>
      <c r="AB21" s="21">
        <v>45523</v>
      </c>
      <c r="AC21" s="20"/>
      <c r="AD21" s="20"/>
      <c r="AE21" s="27">
        <v>30</v>
      </c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 t="s">
        <v>1784</v>
      </c>
      <c r="AR21" s="20" t="s">
        <v>1784</v>
      </c>
      <c r="AS21" s="29">
        <v>6840</v>
      </c>
      <c r="AT21" s="63"/>
      <c r="AU21" s="27">
        <v>6840</v>
      </c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7">
        <v>409.5</v>
      </c>
      <c r="BP21" s="20"/>
      <c r="BQ21" s="20"/>
      <c r="BR21" s="20"/>
      <c r="BS21" s="27">
        <v>48.03</v>
      </c>
      <c r="BT21" s="20"/>
      <c r="BU21" s="20"/>
      <c r="BV21" s="20"/>
      <c r="BW21" s="20"/>
      <c r="BX21" s="20"/>
      <c r="BY21" s="28">
        <v>7297.53</v>
      </c>
      <c r="BZ21" s="20"/>
      <c r="CA21" s="20"/>
      <c r="CB21" s="20"/>
      <c r="CC21" s="27">
        <v>730.55</v>
      </c>
      <c r="CD21" s="20"/>
      <c r="CE21" s="27">
        <v>724.95</v>
      </c>
      <c r="CF21" s="20"/>
      <c r="CG21" s="27">
        <v>99.32</v>
      </c>
      <c r="CH21" s="20"/>
      <c r="CI21" s="20"/>
      <c r="CJ21" s="20"/>
      <c r="CK21" s="20"/>
      <c r="CL21" s="20"/>
      <c r="CM21" s="27">
        <v>409.5</v>
      </c>
      <c r="CN21" s="20"/>
      <c r="CO21" s="20"/>
      <c r="CP21" s="20"/>
      <c r="CQ21" s="20"/>
      <c r="CR21" s="27">
        <v>48.03</v>
      </c>
      <c r="CS21" s="20"/>
      <c r="CT21" s="20"/>
      <c r="CU21" s="20"/>
      <c r="CV21" s="20"/>
      <c r="CW21" s="20"/>
      <c r="CX21" s="20"/>
      <c r="CY21" s="28">
        <v>2012.35</v>
      </c>
      <c r="CZ21" s="27">
        <v>489.34</v>
      </c>
      <c r="DA21" s="27">
        <v>163.11000000000001</v>
      </c>
      <c r="DB21" s="27">
        <v>25.37</v>
      </c>
      <c r="DC21" s="27">
        <v>42.77</v>
      </c>
      <c r="DD21" s="20">
        <v>54.37</v>
      </c>
      <c r="DE21" s="27">
        <v>24.65</v>
      </c>
      <c r="DF21" s="28">
        <v>799.61</v>
      </c>
      <c r="DG21" s="28">
        <v>5285.18</v>
      </c>
    </row>
    <row r="22" spans="2:111" s="31" customFormat="1" ht="14.5" x14ac:dyDescent="0.35">
      <c r="B22" s="20">
        <v>16</v>
      </c>
      <c r="C22" s="20" t="s">
        <v>187</v>
      </c>
      <c r="D22" s="20" t="s">
        <v>105</v>
      </c>
      <c r="E22" s="20" t="s">
        <v>1324</v>
      </c>
      <c r="F22" s="20" t="s">
        <v>1325</v>
      </c>
      <c r="G22" s="20" t="s">
        <v>1326</v>
      </c>
      <c r="H22" s="20" t="s">
        <v>1327</v>
      </c>
      <c r="I22" s="20" t="s">
        <v>58</v>
      </c>
      <c r="J22" s="20" t="s">
        <v>1324</v>
      </c>
      <c r="K22" s="20" t="s">
        <v>59</v>
      </c>
      <c r="L22" s="21">
        <v>36115</v>
      </c>
      <c r="M22" s="20" t="s">
        <v>1328</v>
      </c>
      <c r="N22" s="20" t="s">
        <v>129</v>
      </c>
      <c r="O22" s="20" t="s">
        <v>67</v>
      </c>
      <c r="P22" s="20" t="s">
        <v>83</v>
      </c>
      <c r="Q22" s="20" t="s">
        <v>84</v>
      </c>
      <c r="R22" s="20" t="s">
        <v>783</v>
      </c>
      <c r="S22" s="20" t="s">
        <v>787</v>
      </c>
      <c r="T22" s="20" t="s">
        <v>137</v>
      </c>
      <c r="U22" s="20" t="s">
        <v>64</v>
      </c>
      <c r="V22" s="20" t="s">
        <v>1329</v>
      </c>
      <c r="W22" s="20" t="s">
        <v>891</v>
      </c>
      <c r="X22" s="20" t="s">
        <v>1330</v>
      </c>
      <c r="Y22" s="20"/>
      <c r="Z22" s="20"/>
      <c r="AA22" s="20"/>
      <c r="AB22" s="21">
        <v>45824</v>
      </c>
      <c r="AC22" s="20"/>
      <c r="AD22" s="20"/>
      <c r="AE22" s="27">
        <v>27</v>
      </c>
      <c r="AF22" s="20"/>
      <c r="AG22" s="20"/>
      <c r="AH22" s="20">
        <v>3</v>
      </c>
      <c r="AI22" s="20"/>
      <c r="AJ22" s="20"/>
      <c r="AK22" s="20"/>
      <c r="AL22" s="20"/>
      <c r="AM22" s="20"/>
      <c r="AN22" s="20"/>
      <c r="AO22" s="20"/>
      <c r="AP22" s="20"/>
      <c r="AQ22" s="20" t="s">
        <v>1784</v>
      </c>
      <c r="AR22" s="20" t="s">
        <v>1784</v>
      </c>
      <c r="AS22" s="29">
        <v>3200</v>
      </c>
      <c r="AT22" s="63"/>
      <c r="AU22" s="27">
        <v>2880</v>
      </c>
      <c r="AV22" s="20"/>
      <c r="AW22" s="20"/>
      <c r="AX22" s="20"/>
      <c r="AY22" s="20"/>
      <c r="AZ22" s="20"/>
      <c r="BA22" s="20">
        <v>320</v>
      </c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7">
        <v>100</v>
      </c>
      <c r="BP22" s="20"/>
      <c r="BQ22" s="20"/>
      <c r="BR22" s="20"/>
      <c r="BS22" s="27">
        <v>48.03</v>
      </c>
      <c r="BT22" s="20"/>
      <c r="BU22" s="20"/>
      <c r="BV22" s="20"/>
      <c r="BW22" s="20"/>
      <c r="BX22" s="20"/>
      <c r="BY22" s="28">
        <v>3348.03</v>
      </c>
      <c r="BZ22" s="20"/>
      <c r="CA22" s="20"/>
      <c r="CB22" s="20"/>
      <c r="CC22" s="27"/>
      <c r="CD22" s="20"/>
      <c r="CE22" s="27">
        <v>330</v>
      </c>
      <c r="CF22" s="20"/>
      <c r="CG22" s="27">
        <v>45.21</v>
      </c>
      <c r="CH22" s="20"/>
      <c r="CI22" s="20"/>
      <c r="CJ22" s="20"/>
      <c r="CK22" s="20"/>
      <c r="CL22" s="20"/>
      <c r="CM22" s="27">
        <v>100</v>
      </c>
      <c r="CN22" s="20"/>
      <c r="CO22" s="20"/>
      <c r="CP22" s="20"/>
      <c r="CQ22" s="20"/>
      <c r="CR22" s="27">
        <v>48.03</v>
      </c>
      <c r="CS22" s="20"/>
      <c r="CT22" s="20"/>
      <c r="CU22" s="20"/>
      <c r="CV22" s="20"/>
      <c r="CW22" s="20"/>
      <c r="CX22" s="20"/>
      <c r="CY22" s="28">
        <v>523.24</v>
      </c>
      <c r="CZ22" s="27">
        <v>297</v>
      </c>
      <c r="DA22" s="27"/>
      <c r="DB22" s="27">
        <v>11.55</v>
      </c>
      <c r="DC22" s="27">
        <v>19.47</v>
      </c>
      <c r="DD22" s="20"/>
      <c r="DE22" s="27">
        <v>11.22</v>
      </c>
      <c r="DF22" s="28">
        <v>339.24</v>
      </c>
      <c r="DG22" s="28">
        <v>2824.79</v>
      </c>
    </row>
    <row r="23" spans="2:111" s="31" customFormat="1" ht="14.5" x14ac:dyDescent="0.35">
      <c r="B23" s="20">
        <v>17</v>
      </c>
      <c r="C23" s="20" t="s">
        <v>187</v>
      </c>
      <c r="D23" s="20" t="s">
        <v>105</v>
      </c>
      <c r="E23" s="20" t="s">
        <v>200</v>
      </c>
      <c r="F23" s="20" t="s">
        <v>378</v>
      </c>
      <c r="G23" s="20" t="s">
        <v>379</v>
      </c>
      <c r="H23" s="20" t="s">
        <v>380</v>
      </c>
      <c r="I23" s="20" t="s">
        <v>58</v>
      </c>
      <c r="J23" s="20" t="s">
        <v>200</v>
      </c>
      <c r="K23" s="20" t="s">
        <v>59</v>
      </c>
      <c r="L23" s="21">
        <v>29865</v>
      </c>
      <c r="M23" s="20" t="s">
        <v>375</v>
      </c>
      <c r="N23" s="20" t="s">
        <v>327</v>
      </c>
      <c r="O23" s="20" t="s">
        <v>67</v>
      </c>
      <c r="P23" s="20" t="s">
        <v>68</v>
      </c>
      <c r="Q23" s="20" t="s">
        <v>69</v>
      </c>
      <c r="R23" s="20" t="s">
        <v>783</v>
      </c>
      <c r="S23" s="20" t="s">
        <v>782</v>
      </c>
      <c r="T23" s="20" t="s">
        <v>63</v>
      </c>
      <c r="U23" s="20" t="s">
        <v>64</v>
      </c>
      <c r="V23" s="20" t="s">
        <v>793</v>
      </c>
      <c r="W23" s="20" t="s">
        <v>893</v>
      </c>
      <c r="X23" s="20" t="s">
        <v>907</v>
      </c>
      <c r="Y23" s="20" t="s">
        <v>63</v>
      </c>
      <c r="Z23" s="20" t="s">
        <v>1529</v>
      </c>
      <c r="AA23" s="20" t="s">
        <v>1545</v>
      </c>
      <c r="AB23" s="21">
        <v>45054</v>
      </c>
      <c r="AC23" s="20"/>
      <c r="AD23" s="20"/>
      <c r="AE23" s="27">
        <v>30</v>
      </c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>
        <v>1</v>
      </c>
      <c r="AQ23" s="20" t="s">
        <v>1784</v>
      </c>
      <c r="AR23" s="20" t="s">
        <v>1784</v>
      </c>
      <c r="AS23" s="29">
        <v>8414</v>
      </c>
      <c r="AT23" s="63">
        <v>113</v>
      </c>
      <c r="AU23" s="27">
        <v>8414</v>
      </c>
      <c r="AV23" s="20">
        <v>113</v>
      </c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>
        <v>568.47</v>
      </c>
      <c r="BO23" s="27">
        <v>415.4</v>
      </c>
      <c r="BP23" s="20"/>
      <c r="BQ23" s="20"/>
      <c r="BR23" s="20"/>
      <c r="BS23" s="27">
        <v>48.03</v>
      </c>
      <c r="BT23" s="20"/>
      <c r="BU23" s="20"/>
      <c r="BV23" s="20"/>
      <c r="BW23" s="20"/>
      <c r="BX23" s="20"/>
      <c r="BY23" s="28">
        <v>9558.9</v>
      </c>
      <c r="BZ23" s="20"/>
      <c r="CA23" s="20"/>
      <c r="CB23" s="20"/>
      <c r="CC23" s="27">
        <v>1047.93</v>
      </c>
      <c r="CD23" s="20"/>
      <c r="CE23" s="27">
        <v>951.09</v>
      </c>
      <c r="CF23" s="20">
        <v>160.72999999999999</v>
      </c>
      <c r="CG23" s="27">
        <v>130.30000000000001</v>
      </c>
      <c r="CH23" s="20"/>
      <c r="CI23" s="20"/>
      <c r="CJ23" s="20"/>
      <c r="CK23" s="20"/>
      <c r="CL23" s="20"/>
      <c r="CM23" s="27">
        <v>415.4</v>
      </c>
      <c r="CN23" s="20"/>
      <c r="CO23" s="20"/>
      <c r="CP23" s="20"/>
      <c r="CQ23" s="20"/>
      <c r="CR23" s="27">
        <v>48.03</v>
      </c>
      <c r="CS23" s="20">
        <v>58.38</v>
      </c>
      <c r="CT23" s="20"/>
      <c r="CU23" s="20"/>
      <c r="CV23" s="20"/>
      <c r="CW23" s="20"/>
      <c r="CX23" s="20"/>
      <c r="CY23" s="28">
        <v>2811.86</v>
      </c>
      <c r="CZ23" s="27">
        <v>641.98</v>
      </c>
      <c r="DA23" s="27">
        <v>213.99</v>
      </c>
      <c r="DB23" s="27">
        <v>33.29</v>
      </c>
      <c r="DC23" s="27">
        <v>56.11</v>
      </c>
      <c r="DD23" s="20">
        <v>71.33</v>
      </c>
      <c r="DE23" s="27">
        <v>32.340000000000003</v>
      </c>
      <c r="DF23" s="28">
        <v>1049.04</v>
      </c>
      <c r="DG23" s="28">
        <v>6747.04</v>
      </c>
    </row>
    <row r="24" spans="2:111" s="31" customFormat="1" ht="14.5" x14ac:dyDescent="0.35">
      <c r="B24" s="20">
        <v>18</v>
      </c>
      <c r="C24" s="20" t="s">
        <v>187</v>
      </c>
      <c r="D24" s="20" t="s">
        <v>105</v>
      </c>
      <c r="E24" s="20" t="s">
        <v>201</v>
      </c>
      <c r="F24" s="20" t="s">
        <v>382</v>
      </c>
      <c r="G24" s="20" t="s">
        <v>383</v>
      </c>
      <c r="H24" s="20" t="s">
        <v>384</v>
      </c>
      <c r="I24" s="20" t="s">
        <v>58</v>
      </c>
      <c r="J24" s="20" t="s">
        <v>201</v>
      </c>
      <c r="K24" s="20" t="s">
        <v>66</v>
      </c>
      <c r="L24" s="21">
        <v>34149</v>
      </c>
      <c r="M24" s="20" t="s">
        <v>385</v>
      </c>
      <c r="N24" s="20" t="s">
        <v>327</v>
      </c>
      <c r="O24" s="20" t="s">
        <v>67</v>
      </c>
      <c r="P24" s="20" t="s">
        <v>1546</v>
      </c>
      <c r="Q24" s="20" t="s">
        <v>1547</v>
      </c>
      <c r="R24" s="20" t="s">
        <v>779</v>
      </c>
      <c r="S24" s="20" t="s">
        <v>106</v>
      </c>
      <c r="T24" s="20" t="s">
        <v>65</v>
      </c>
      <c r="U24" s="20" t="s">
        <v>73</v>
      </c>
      <c r="V24" s="20" t="s">
        <v>794</v>
      </c>
      <c r="W24" s="20" t="s">
        <v>891</v>
      </c>
      <c r="X24" s="20" t="s">
        <v>908</v>
      </c>
      <c r="Y24" s="20" t="s">
        <v>137</v>
      </c>
      <c r="Z24" s="20" t="s">
        <v>1529</v>
      </c>
      <c r="AA24" s="20" t="s">
        <v>1548</v>
      </c>
      <c r="AB24" s="21">
        <v>44634</v>
      </c>
      <c r="AC24" s="20"/>
      <c r="AD24" s="20"/>
      <c r="AE24" s="27">
        <v>30</v>
      </c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>
        <v>2</v>
      </c>
      <c r="AQ24" s="20" t="s">
        <v>1784</v>
      </c>
      <c r="AR24" s="20" t="s">
        <v>1784</v>
      </c>
      <c r="AS24" s="29">
        <v>5887</v>
      </c>
      <c r="AT24" s="63"/>
      <c r="AU24" s="27">
        <v>5887</v>
      </c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>
        <v>784.93</v>
      </c>
      <c r="BO24" s="27">
        <v>236</v>
      </c>
      <c r="BP24" s="20"/>
      <c r="BQ24" s="20"/>
      <c r="BR24" s="20"/>
      <c r="BS24" s="27">
        <v>48.03</v>
      </c>
      <c r="BT24" s="20"/>
      <c r="BU24" s="20"/>
      <c r="BV24" s="20"/>
      <c r="BW24" s="20"/>
      <c r="BX24" s="20"/>
      <c r="BY24" s="28">
        <v>6955.96</v>
      </c>
      <c r="BZ24" s="20"/>
      <c r="CA24" s="20"/>
      <c r="CB24" s="20"/>
      <c r="CC24" s="27">
        <v>578.54</v>
      </c>
      <c r="CD24" s="20"/>
      <c r="CE24" s="27">
        <v>690.79</v>
      </c>
      <c r="CF24" s="20"/>
      <c r="CG24" s="27">
        <v>94.64</v>
      </c>
      <c r="CH24" s="20"/>
      <c r="CI24" s="20"/>
      <c r="CJ24" s="20"/>
      <c r="CK24" s="20"/>
      <c r="CL24" s="20"/>
      <c r="CM24" s="27">
        <v>236</v>
      </c>
      <c r="CN24" s="20"/>
      <c r="CO24" s="20"/>
      <c r="CP24" s="20"/>
      <c r="CQ24" s="20"/>
      <c r="CR24" s="27">
        <v>48.03</v>
      </c>
      <c r="CS24" s="20"/>
      <c r="CT24" s="20"/>
      <c r="CU24" s="20"/>
      <c r="CV24" s="20"/>
      <c r="CW24" s="20"/>
      <c r="CX24" s="20"/>
      <c r="CY24" s="28">
        <v>1648</v>
      </c>
      <c r="CZ24" s="27">
        <v>466.29</v>
      </c>
      <c r="DA24" s="27">
        <v>155.43</v>
      </c>
      <c r="DB24" s="27">
        <v>24.18</v>
      </c>
      <c r="DC24" s="27">
        <v>40.76</v>
      </c>
      <c r="DD24" s="20"/>
      <c r="DE24" s="27">
        <v>23.49</v>
      </c>
      <c r="DF24" s="28">
        <v>710.15</v>
      </c>
      <c r="DG24" s="28">
        <v>5307.96</v>
      </c>
    </row>
    <row r="25" spans="2:111" s="31" customFormat="1" ht="14.5" x14ac:dyDescent="0.35">
      <c r="B25" s="20">
        <v>5</v>
      </c>
      <c r="C25" s="20" t="s">
        <v>187</v>
      </c>
      <c r="D25" s="20" t="s">
        <v>105</v>
      </c>
      <c r="E25" s="20" t="s">
        <v>190</v>
      </c>
      <c r="F25" s="20" t="s">
        <v>332</v>
      </c>
      <c r="G25" s="20" t="s">
        <v>333</v>
      </c>
      <c r="H25" s="20" t="s">
        <v>334</v>
      </c>
      <c r="I25" s="20" t="s">
        <v>58</v>
      </c>
      <c r="J25" s="20" t="s">
        <v>190</v>
      </c>
      <c r="K25" s="20" t="s">
        <v>59</v>
      </c>
      <c r="L25" s="21">
        <v>29593</v>
      </c>
      <c r="M25" s="20" t="s">
        <v>320</v>
      </c>
      <c r="N25" s="20" t="s">
        <v>129</v>
      </c>
      <c r="O25" s="20" t="s">
        <v>60</v>
      </c>
      <c r="P25" s="20" t="s">
        <v>321</v>
      </c>
      <c r="Q25" s="20" t="s">
        <v>322</v>
      </c>
      <c r="R25" s="20" t="s">
        <v>779</v>
      </c>
      <c r="S25" s="20" t="s">
        <v>780</v>
      </c>
      <c r="T25" s="20" t="s">
        <v>138</v>
      </c>
      <c r="U25" s="20" t="s">
        <v>64</v>
      </c>
      <c r="V25" s="20" t="s">
        <v>784</v>
      </c>
      <c r="W25" s="20" t="s">
        <v>891</v>
      </c>
      <c r="X25" s="20" t="s">
        <v>895</v>
      </c>
      <c r="Y25" s="20" t="s">
        <v>138</v>
      </c>
      <c r="Z25" s="20" t="s">
        <v>1529</v>
      </c>
      <c r="AA25" s="20" t="s">
        <v>1532</v>
      </c>
      <c r="AB25" s="21">
        <v>44256</v>
      </c>
      <c r="AC25" s="20"/>
      <c r="AD25" s="20"/>
      <c r="AE25" s="27">
        <v>30</v>
      </c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7">
        <v>1</v>
      </c>
      <c r="AQ25" s="20" t="s">
        <v>1784</v>
      </c>
      <c r="AR25" s="20" t="s">
        <v>1784</v>
      </c>
      <c r="AS25" s="29">
        <v>2069.9</v>
      </c>
      <c r="AT25" s="29">
        <v>113</v>
      </c>
      <c r="AU25" s="27">
        <v>2069.9</v>
      </c>
      <c r="AV25" s="27">
        <v>113</v>
      </c>
      <c r="AW25" s="20"/>
      <c r="AX25" s="20"/>
      <c r="AY25" s="20"/>
      <c r="AZ25" s="20"/>
      <c r="BA25" s="20"/>
      <c r="BB25" s="20"/>
      <c r="BC25" s="20"/>
      <c r="BD25" s="20"/>
      <c r="BE25" s="27">
        <v>390</v>
      </c>
      <c r="BF25" s="20"/>
      <c r="BG25" s="27">
        <v>520</v>
      </c>
      <c r="BH25" s="20"/>
      <c r="BI25" s="20"/>
      <c r="BJ25" s="20"/>
      <c r="BK25" s="20"/>
      <c r="BL25" s="20"/>
      <c r="BM25" s="20"/>
      <c r="BN25" s="27">
        <v>145.53</v>
      </c>
      <c r="BO25" s="20"/>
      <c r="BP25" s="20"/>
      <c r="BQ25" s="20"/>
      <c r="BR25" s="20"/>
      <c r="BS25" s="27">
        <v>96.06</v>
      </c>
      <c r="BT25" s="20"/>
      <c r="BU25" s="27">
        <v>707.91</v>
      </c>
      <c r="BV25" s="20"/>
      <c r="BW25" s="20"/>
      <c r="BX25" s="20"/>
      <c r="BY25" s="28">
        <v>4042.4</v>
      </c>
      <c r="BZ25" s="20"/>
      <c r="CA25" s="20"/>
      <c r="CB25" s="20"/>
      <c r="CC25" s="27">
        <v>120.35</v>
      </c>
      <c r="CD25" s="20"/>
      <c r="CE25" s="27">
        <v>342.63</v>
      </c>
      <c r="CF25" s="20"/>
      <c r="CG25" s="27">
        <v>46.94</v>
      </c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7">
        <v>96.06</v>
      </c>
      <c r="CS25" s="20"/>
      <c r="CT25" s="20"/>
      <c r="CU25" s="20"/>
      <c r="CV25" s="20"/>
      <c r="CW25" s="20"/>
      <c r="CX25" s="20"/>
      <c r="CY25" s="28">
        <v>605.98</v>
      </c>
      <c r="CZ25" s="27">
        <v>231.28</v>
      </c>
      <c r="DA25" s="27">
        <v>77.09</v>
      </c>
      <c r="DB25" s="27">
        <v>11.99</v>
      </c>
      <c r="DC25" s="27">
        <v>20.22</v>
      </c>
      <c r="DD25" s="20"/>
      <c r="DE25" s="27">
        <v>11.65</v>
      </c>
      <c r="DF25" s="28">
        <v>352.23</v>
      </c>
      <c r="DG25" s="28">
        <v>3436.42</v>
      </c>
    </row>
    <row r="26" spans="2:111" s="31" customFormat="1" ht="14.5" x14ac:dyDescent="0.35">
      <c r="B26" s="20">
        <v>20</v>
      </c>
      <c r="C26" s="20" t="s">
        <v>187</v>
      </c>
      <c r="D26" s="20" t="s">
        <v>105</v>
      </c>
      <c r="E26" s="20" t="s">
        <v>202</v>
      </c>
      <c r="F26" s="20" t="s">
        <v>386</v>
      </c>
      <c r="G26" s="20" t="s">
        <v>387</v>
      </c>
      <c r="H26" s="20" t="s">
        <v>388</v>
      </c>
      <c r="I26" s="20" t="s">
        <v>58</v>
      </c>
      <c r="J26" s="20" t="s">
        <v>202</v>
      </c>
      <c r="K26" s="20" t="s">
        <v>66</v>
      </c>
      <c r="L26" s="21">
        <v>34635</v>
      </c>
      <c r="M26" s="20" t="s">
        <v>1331</v>
      </c>
      <c r="N26" s="20" t="s">
        <v>129</v>
      </c>
      <c r="O26" s="20" t="s">
        <v>75</v>
      </c>
      <c r="P26" s="20" t="s">
        <v>78</v>
      </c>
      <c r="Q26" s="20" t="s">
        <v>79</v>
      </c>
      <c r="R26" s="20" t="s">
        <v>779</v>
      </c>
      <c r="S26" s="20" t="s">
        <v>782</v>
      </c>
      <c r="T26" s="20" t="s">
        <v>137</v>
      </c>
      <c r="U26" s="20" t="s">
        <v>64</v>
      </c>
      <c r="V26" s="20" t="s">
        <v>795</v>
      </c>
      <c r="W26" s="20" t="s">
        <v>891</v>
      </c>
      <c r="X26" s="20" t="s">
        <v>909</v>
      </c>
      <c r="Y26" s="20" t="s">
        <v>137</v>
      </c>
      <c r="Z26" s="20" t="s">
        <v>1529</v>
      </c>
      <c r="AA26" s="20" t="s">
        <v>1550</v>
      </c>
      <c r="AB26" s="21">
        <v>44102</v>
      </c>
      <c r="AC26" s="20"/>
      <c r="AD26" s="20"/>
      <c r="AE26" s="27">
        <v>29</v>
      </c>
      <c r="AF26" s="20"/>
      <c r="AG26" s="20">
        <v>1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 t="s">
        <v>1784</v>
      </c>
      <c r="AR26" s="20" t="s">
        <v>1784</v>
      </c>
      <c r="AS26" s="29">
        <v>9038</v>
      </c>
      <c r="AT26" s="63">
        <v>113</v>
      </c>
      <c r="AU26" s="27">
        <v>8736.73</v>
      </c>
      <c r="AV26" s="20">
        <v>113</v>
      </c>
      <c r="AW26" s="20"/>
      <c r="AX26" s="20"/>
      <c r="AY26" s="20"/>
      <c r="AZ26" s="20">
        <v>301.27</v>
      </c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7"/>
      <c r="BP26" s="20"/>
      <c r="BQ26" s="20"/>
      <c r="BR26" s="20"/>
      <c r="BS26" s="27">
        <v>48.03</v>
      </c>
      <c r="BT26" s="20"/>
      <c r="BU26" s="20"/>
      <c r="BV26" s="20"/>
      <c r="BW26" s="20"/>
      <c r="BX26" s="20"/>
      <c r="BY26" s="28">
        <v>9199.0300000000007</v>
      </c>
      <c r="BZ26" s="20"/>
      <c r="CA26" s="20"/>
      <c r="CB26" s="20"/>
      <c r="CC26" s="27">
        <v>968.04</v>
      </c>
      <c r="CD26" s="20"/>
      <c r="CE26" s="27">
        <v>915.1</v>
      </c>
      <c r="CF26" s="20"/>
      <c r="CG26" s="27">
        <v>125.37</v>
      </c>
      <c r="CH26" s="20"/>
      <c r="CI26" s="20">
        <v>260.45</v>
      </c>
      <c r="CJ26" s="20"/>
      <c r="CK26" s="20"/>
      <c r="CL26" s="20"/>
      <c r="CM26" s="27"/>
      <c r="CN26" s="20"/>
      <c r="CO26" s="20"/>
      <c r="CP26" s="20"/>
      <c r="CQ26" s="20"/>
      <c r="CR26" s="27">
        <v>48.03</v>
      </c>
      <c r="CS26" s="20">
        <v>24.4</v>
      </c>
      <c r="CT26" s="20"/>
      <c r="CU26" s="20"/>
      <c r="CV26" s="20"/>
      <c r="CW26" s="20"/>
      <c r="CX26" s="20"/>
      <c r="CY26" s="28">
        <v>2341.39</v>
      </c>
      <c r="CZ26" s="27">
        <v>617.69000000000005</v>
      </c>
      <c r="DA26" s="27">
        <v>205.9</v>
      </c>
      <c r="DB26" s="27">
        <v>32.03</v>
      </c>
      <c r="DC26" s="27">
        <v>53.99</v>
      </c>
      <c r="DD26" s="20"/>
      <c r="DE26" s="27">
        <v>31.11</v>
      </c>
      <c r="DF26" s="28">
        <v>940.72</v>
      </c>
      <c r="DG26" s="28">
        <v>6857.64</v>
      </c>
    </row>
    <row r="27" spans="2:111" s="31" customFormat="1" ht="14.5" x14ac:dyDescent="0.35">
      <c r="B27" s="20">
        <v>10</v>
      </c>
      <c r="C27" s="20" t="s">
        <v>187</v>
      </c>
      <c r="D27" s="20" t="s">
        <v>105</v>
      </c>
      <c r="E27" s="20" t="s">
        <v>195</v>
      </c>
      <c r="F27" s="20" t="s">
        <v>352</v>
      </c>
      <c r="G27" s="20" t="s">
        <v>353</v>
      </c>
      <c r="H27" s="20" t="s">
        <v>354</v>
      </c>
      <c r="I27" s="20" t="s">
        <v>58</v>
      </c>
      <c r="J27" s="20" t="s">
        <v>195</v>
      </c>
      <c r="K27" s="20" t="s">
        <v>59</v>
      </c>
      <c r="L27" s="21">
        <v>30601</v>
      </c>
      <c r="M27" s="20" t="s">
        <v>320</v>
      </c>
      <c r="N27" s="20" t="s">
        <v>129</v>
      </c>
      <c r="O27" s="20" t="s">
        <v>60</v>
      </c>
      <c r="P27" s="20" t="s">
        <v>321</v>
      </c>
      <c r="Q27" s="20" t="s">
        <v>322</v>
      </c>
      <c r="R27" s="20" t="s">
        <v>783</v>
      </c>
      <c r="S27" s="20" t="s">
        <v>106</v>
      </c>
      <c r="T27" s="20" t="s">
        <v>65</v>
      </c>
      <c r="U27" s="20" t="s">
        <v>73</v>
      </c>
      <c r="V27" s="20" t="s">
        <v>1027</v>
      </c>
      <c r="W27" s="20" t="s">
        <v>893</v>
      </c>
      <c r="X27" s="20" t="s">
        <v>902</v>
      </c>
      <c r="Y27" s="20" t="s">
        <v>137</v>
      </c>
      <c r="Z27" s="20" t="s">
        <v>1529</v>
      </c>
      <c r="AA27" s="20" t="s">
        <v>1539</v>
      </c>
      <c r="AB27" s="21">
        <v>45134</v>
      </c>
      <c r="AC27" s="20"/>
      <c r="AD27" s="20"/>
      <c r="AE27" s="27">
        <v>30</v>
      </c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7">
        <v>1</v>
      </c>
      <c r="AQ27" s="20" t="s">
        <v>1784</v>
      </c>
      <c r="AR27" s="20" t="s">
        <v>1784</v>
      </c>
      <c r="AS27" s="29">
        <v>1565.2</v>
      </c>
      <c r="AT27" s="29">
        <v>113</v>
      </c>
      <c r="AU27" s="27">
        <v>1565.2</v>
      </c>
      <c r="AV27" s="27">
        <v>113</v>
      </c>
      <c r="AW27" s="20"/>
      <c r="AX27" s="20"/>
      <c r="AY27" s="20"/>
      <c r="AZ27" s="20"/>
      <c r="BA27" s="20"/>
      <c r="BB27" s="20"/>
      <c r="BC27" s="20"/>
      <c r="BD27" s="20"/>
      <c r="BE27" s="27">
        <v>390</v>
      </c>
      <c r="BF27" s="20"/>
      <c r="BG27" s="27">
        <v>520</v>
      </c>
      <c r="BH27" s="20"/>
      <c r="BI27" s="20"/>
      <c r="BJ27" s="20"/>
      <c r="BK27" s="20"/>
      <c r="BL27" s="20"/>
      <c r="BM27" s="20"/>
      <c r="BN27" s="27">
        <v>111.88</v>
      </c>
      <c r="BO27" s="20"/>
      <c r="BP27" s="20"/>
      <c r="BQ27" s="20"/>
      <c r="BR27" s="20"/>
      <c r="BS27" s="27">
        <v>48.03</v>
      </c>
      <c r="BT27" s="20"/>
      <c r="BU27" s="27">
        <v>654.70000000000005</v>
      </c>
      <c r="BV27" s="20"/>
      <c r="BW27" s="20"/>
      <c r="BX27" s="20"/>
      <c r="BY27" s="28">
        <v>3402.81</v>
      </c>
      <c r="BZ27" s="20"/>
      <c r="CA27" s="20"/>
      <c r="CB27" s="20"/>
      <c r="CC27" s="20"/>
      <c r="CD27" s="20"/>
      <c r="CE27" s="27">
        <v>283.48</v>
      </c>
      <c r="CF27" s="20"/>
      <c r="CG27" s="27">
        <v>38.840000000000003</v>
      </c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7">
        <v>48.03</v>
      </c>
      <c r="CS27" s="20"/>
      <c r="CT27" s="20"/>
      <c r="CU27" s="20"/>
      <c r="CV27" s="20"/>
      <c r="CW27" s="20"/>
      <c r="CX27" s="20"/>
      <c r="CY27" s="28">
        <v>370.35</v>
      </c>
      <c r="CZ27" s="27">
        <v>191.35</v>
      </c>
      <c r="DA27" s="27">
        <v>63.78</v>
      </c>
      <c r="DB27" s="27">
        <v>9.92</v>
      </c>
      <c r="DC27" s="27">
        <v>16.73</v>
      </c>
      <c r="DD27" s="20"/>
      <c r="DE27" s="27">
        <v>9.64</v>
      </c>
      <c r="DF27" s="28">
        <v>291.42</v>
      </c>
      <c r="DG27" s="28">
        <v>3032.46</v>
      </c>
    </row>
    <row r="28" spans="2:111" s="31" customFormat="1" ht="14.5" x14ac:dyDescent="0.35">
      <c r="B28" s="20">
        <v>22</v>
      </c>
      <c r="C28" s="20" t="s">
        <v>187</v>
      </c>
      <c r="D28" s="20" t="s">
        <v>105</v>
      </c>
      <c r="E28" s="20" t="s">
        <v>1448</v>
      </c>
      <c r="F28" s="20" t="s">
        <v>1449</v>
      </c>
      <c r="G28" s="20" t="s">
        <v>546</v>
      </c>
      <c r="H28" s="20" t="s">
        <v>1450</v>
      </c>
      <c r="I28" s="20" t="s">
        <v>58</v>
      </c>
      <c r="J28" s="20" t="s">
        <v>1448</v>
      </c>
      <c r="K28" s="20" t="s">
        <v>66</v>
      </c>
      <c r="L28" s="21">
        <v>35239</v>
      </c>
      <c r="M28" s="20" t="s">
        <v>1451</v>
      </c>
      <c r="N28" s="20" t="s">
        <v>129</v>
      </c>
      <c r="O28" s="20" t="s">
        <v>70</v>
      </c>
      <c r="P28" s="20" t="s">
        <v>113</v>
      </c>
      <c r="Q28" s="20" t="s">
        <v>114</v>
      </c>
      <c r="R28" s="20" t="s">
        <v>779</v>
      </c>
      <c r="S28" s="20" t="s">
        <v>782</v>
      </c>
      <c r="T28" s="20" t="s">
        <v>137</v>
      </c>
      <c r="U28" s="20" t="s">
        <v>64</v>
      </c>
      <c r="V28" s="20" t="s">
        <v>1452</v>
      </c>
      <c r="W28" s="20" t="s">
        <v>896</v>
      </c>
      <c r="X28" s="20" t="s">
        <v>1453</v>
      </c>
      <c r="Y28" s="20"/>
      <c r="Z28" s="20"/>
      <c r="AA28" s="20"/>
      <c r="AB28" s="21">
        <v>45889</v>
      </c>
      <c r="AC28" s="20"/>
      <c r="AD28" s="20"/>
      <c r="AE28" s="27">
        <v>30</v>
      </c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 t="s">
        <v>1784</v>
      </c>
      <c r="AR28" s="20" t="s">
        <v>1784</v>
      </c>
      <c r="AS28" s="29">
        <v>25000</v>
      </c>
      <c r="AT28" s="63"/>
      <c r="AU28" s="27">
        <v>25000</v>
      </c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7"/>
      <c r="BP28" s="20"/>
      <c r="BQ28" s="20"/>
      <c r="BR28" s="20"/>
      <c r="BS28" s="27">
        <v>48.03</v>
      </c>
      <c r="BT28" s="20"/>
      <c r="BU28" s="20"/>
      <c r="BV28" s="20"/>
      <c r="BW28" s="20"/>
      <c r="BX28" s="20"/>
      <c r="BY28" s="28">
        <v>25048.03</v>
      </c>
      <c r="BZ28" s="20"/>
      <c r="CA28" s="20"/>
      <c r="CB28" s="20"/>
      <c r="CC28" s="27">
        <v>2234.7600000000002</v>
      </c>
      <c r="CD28" s="20"/>
      <c r="CE28" s="27">
        <v>2500</v>
      </c>
      <c r="CF28" s="20"/>
      <c r="CG28" s="27">
        <v>166.93</v>
      </c>
      <c r="CH28" s="20"/>
      <c r="CI28" s="20">
        <v>130.22</v>
      </c>
      <c r="CJ28" s="20"/>
      <c r="CK28" s="20"/>
      <c r="CL28" s="20"/>
      <c r="CM28" s="27"/>
      <c r="CN28" s="20"/>
      <c r="CO28" s="20"/>
      <c r="CP28" s="20"/>
      <c r="CQ28" s="20"/>
      <c r="CR28" s="27">
        <v>48.03</v>
      </c>
      <c r="CS28" s="20"/>
      <c r="CT28" s="20"/>
      <c r="CU28" s="20"/>
      <c r="CV28" s="20"/>
      <c r="CW28" s="20"/>
      <c r="CX28" s="20"/>
      <c r="CY28" s="28">
        <v>5079.9399999999996</v>
      </c>
      <c r="CZ28" s="27">
        <v>1687.5</v>
      </c>
      <c r="DA28" s="27">
        <v>562.5</v>
      </c>
      <c r="DB28" s="27">
        <v>42.65</v>
      </c>
      <c r="DC28" s="27">
        <v>147.5</v>
      </c>
      <c r="DD28" s="20"/>
      <c r="DE28" s="27">
        <v>41.43</v>
      </c>
      <c r="DF28" s="28">
        <v>2481.58</v>
      </c>
      <c r="DG28" s="28">
        <v>19968.09</v>
      </c>
    </row>
    <row r="29" spans="2:111" s="31" customFormat="1" ht="14.5" x14ac:dyDescent="0.35">
      <c r="B29" s="20">
        <v>25</v>
      </c>
      <c r="C29" s="20" t="s">
        <v>187</v>
      </c>
      <c r="D29" s="20" t="s">
        <v>105</v>
      </c>
      <c r="E29" s="20" t="s">
        <v>205</v>
      </c>
      <c r="F29" s="20" t="s">
        <v>405</v>
      </c>
      <c r="G29" s="20" t="s">
        <v>406</v>
      </c>
      <c r="H29" s="20" t="s">
        <v>407</v>
      </c>
      <c r="I29" s="20" t="s">
        <v>58</v>
      </c>
      <c r="J29" s="20" t="s">
        <v>205</v>
      </c>
      <c r="K29" s="20" t="s">
        <v>59</v>
      </c>
      <c r="L29" s="21">
        <v>33451</v>
      </c>
      <c r="M29" s="20" t="s">
        <v>320</v>
      </c>
      <c r="N29" s="20" t="s">
        <v>129</v>
      </c>
      <c r="O29" s="20" t="s">
        <v>60</v>
      </c>
      <c r="P29" s="20" t="s">
        <v>321</v>
      </c>
      <c r="Q29" s="20" t="s">
        <v>322</v>
      </c>
      <c r="R29" s="20" t="s">
        <v>779</v>
      </c>
      <c r="S29" s="20" t="s">
        <v>106</v>
      </c>
      <c r="T29" s="20" t="s">
        <v>63</v>
      </c>
      <c r="U29" s="20" t="s">
        <v>64</v>
      </c>
      <c r="V29" s="20" t="s">
        <v>799</v>
      </c>
      <c r="W29" s="20" t="s">
        <v>898</v>
      </c>
      <c r="X29" s="20" t="s">
        <v>912</v>
      </c>
      <c r="Y29" s="20" t="s">
        <v>63</v>
      </c>
      <c r="Z29" s="20" t="s">
        <v>1529</v>
      </c>
      <c r="AA29" s="20" t="s">
        <v>1553</v>
      </c>
      <c r="AB29" s="21">
        <v>44727</v>
      </c>
      <c r="AC29" s="20"/>
      <c r="AD29" s="20"/>
      <c r="AE29" s="27">
        <v>30</v>
      </c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>
        <v>1</v>
      </c>
      <c r="AQ29" s="20" t="s">
        <v>1784</v>
      </c>
      <c r="AR29" s="20" t="s">
        <v>1784</v>
      </c>
      <c r="AS29" s="29">
        <v>1939.7</v>
      </c>
      <c r="AT29" s="63">
        <v>113</v>
      </c>
      <c r="AU29" s="27">
        <v>1939.7</v>
      </c>
      <c r="AV29" s="20">
        <v>113</v>
      </c>
      <c r="AW29" s="20"/>
      <c r="AX29" s="20"/>
      <c r="AY29" s="20"/>
      <c r="AZ29" s="20"/>
      <c r="BA29" s="20"/>
      <c r="BB29" s="20"/>
      <c r="BC29" s="20"/>
      <c r="BD29" s="20"/>
      <c r="BE29" s="20">
        <v>390</v>
      </c>
      <c r="BF29" s="20"/>
      <c r="BG29" s="20">
        <v>520</v>
      </c>
      <c r="BH29" s="20"/>
      <c r="BI29" s="20"/>
      <c r="BJ29" s="20"/>
      <c r="BK29" s="20"/>
      <c r="BL29" s="20"/>
      <c r="BM29" s="20"/>
      <c r="BN29" s="20">
        <v>136.85</v>
      </c>
      <c r="BO29" s="27"/>
      <c r="BP29" s="20"/>
      <c r="BQ29" s="20"/>
      <c r="BR29" s="20"/>
      <c r="BS29" s="27">
        <v>96.06</v>
      </c>
      <c r="BT29" s="20"/>
      <c r="BU29" s="20">
        <v>485.48</v>
      </c>
      <c r="BV29" s="20"/>
      <c r="BW29" s="20"/>
      <c r="BX29" s="20"/>
      <c r="BY29" s="28">
        <v>3681.09</v>
      </c>
      <c r="BZ29" s="20"/>
      <c r="CA29" s="20"/>
      <c r="CB29" s="20"/>
      <c r="CC29" s="27">
        <v>74.489999999999995</v>
      </c>
      <c r="CD29" s="20"/>
      <c r="CE29" s="27">
        <v>306.5</v>
      </c>
      <c r="CF29" s="20"/>
      <c r="CG29" s="27">
        <v>41.99</v>
      </c>
      <c r="CH29" s="20"/>
      <c r="CI29" s="20"/>
      <c r="CJ29" s="20"/>
      <c r="CK29" s="20"/>
      <c r="CL29" s="20"/>
      <c r="CM29" s="27"/>
      <c r="CN29" s="20"/>
      <c r="CO29" s="20"/>
      <c r="CP29" s="20"/>
      <c r="CQ29" s="20"/>
      <c r="CR29" s="27">
        <v>96.06</v>
      </c>
      <c r="CS29" s="20"/>
      <c r="CT29" s="20"/>
      <c r="CU29" s="20"/>
      <c r="CV29" s="20"/>
      <c r="CW29" s="20"/>
      <c r="CX29" s="20"/>
      <c r="CY29" s="28">
        <v>519.04</v>
      </c>
      <c r="CZ29" s="27">
        <v>275.85000000000002</v>
      </c>
      <c r="DA29" s="27"/>
      <c r="DB29" s="27">
        <v>10.73</v>
      </c>
      <c r="DC29" s="27">
        <v>18.079999999999998</v>
      </c>
      <c r="DD29" s="20"/>
      <c r="DE29" s="27">
        <v>10.42</v>
      </c>
      <c r="DF29" s="28">
        <v>315.08</v>
      </c>
      <c r="DG29" s="28">
        <v>3162.05</v>
      </c>
    </row>
    <row r="30" spans="2:111" s="31" customFormat="1" ht="14.5" x14ac:dyDescent="0.35">
      <c r="B30" s="20">
        <v>24</v>
      </c>
      <c r="C30" s="20" t="s">
        <v>187</v>
      </c>
      <c r="D30" s="20" t="s">
        <v>105</v>
      </c>
      <c r="E30" s="20" t="s">
        <v>204</v>
      </c>
      <c r="F30" s="20" t="s">
        <v>402</v>
      </c>
      <c r="G30" s="20" t="s">
        <v>324</v>
      </c>
      <c r="H30" s="20" t="s">
        <v>403</v>
      </c>
      <c r="I30" s="20" t="s">
        <v>58</v>
      </c>
      <c r="J30" s="20" t="s">
        <v>204</v>
      </c>
      <c r="K30" s="20" t="s">
        <v>59</v>
      </c>
      <c r="L30" s="21">
        <v>33664</v>
      </c>
      <c r="M30" s="20" t="s">
        <v>404</v>
      </c>
      <c r="N30" s="20" t="s">
        <v>327</v>
      </c>
      <c r="O30" s="20" t="s">
        <v>67</v>
      </c>
      <c r="P30" s="20" t="s">
        <v>74</v>
      </c>
      <c r="Q30" s="20" t="s">
        <v>1152</v>
      </c>
      <c r="R30" s="20" t="s">
        <v>779</v>
      </c>
      <c r="S30" s="20" t="s">
        <v>782</v>
      </c>
      <c r="T30" s="20" t="s">
        <v>137</v>
      </c>
      <c r="U30" s="20" t="s">
        <v>64</v>
      </c>
      <c r="V30" s="20" t="s">
        <v>798</v>
      </c>
      <c r="W30" s="20" t="s">
        <v>898</v>
      </c>
      <c r="X30" s="20" t="s">
        <v>911</v>
      </c>
      <c r="Y30" s="20" t="s">
        <v>137</v>
      </c>
      <c r="Z30" s="20" t="s">
        <v>1529</v>
      </c>
      <c r="AA30" s="20" t="s">
        <v>1552</v>
      </c>
      <c r="AB30" s="21">
        <v>44991</v>
      </c>
      <c r="AC30" s="20"/>
      <c r="AD30" s="20"/>
      <c r="AE30" s="27">
        <v>28</v>
      </c>
      <c r="AF30" s="20"/>
      <c r="AG30" s="20">
        <v>2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0" t="s">
        <v>1784</v>
      </c>
      <c r="AR30" s="20" t="s">
        <v>1784</v>
      </c>
      <c r="AS30" s="29">
        <v>17325</v>
      </c>
      <c r="AT30" s="63">
        <v>113</v>
      </c>
      <c r="AU30" s="27">
        <v>16170</v>
      </c>
      <c r="AV30" s="20">
        <v>113</v>
      </c>
      <c r="AW30" s="20"/>
      <c r="AX30" s="20"/>
      <c r="AY30" s="20"/>
      <c r="AZ30" s="20">
        <v>1170.3499999999999</v>
      </c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7">
        <v>259.39999999999998</v>
      </c>
      <c r="BP30" s="20"/>
      <c r="BQ30" s="20"/>
      <c r="BR30" s="20"/>
      <c r="BS30" s="27">
        <v>48.03</v>
      </c>
      <c r="BT30" s="20"/>
      <c r="BU30" s="20"/>
      <c r="BV30" s="20"/>
      <c r="BW30" s="20"/>
      <c r="BX30" s="20"/>
      <c r="BY30" s="28">
        <v>17760.78</v>
      </c>
      <c r="BZ30" s="20"/>
      <c r="CA30" s="20"/>
      <c r="CB30" s="20"/>
      <c r="CC30" s="27">
        <v>2777.66</v>
      </c>
      <c r="CD30" s="20"/>
      <c r="CE30" s="27">
        <v>1771.28</v>
      </c>
      <c r="CF30" s="20">
        <v>283.39999999999998</v>
      </c>
      <c r="CG30" s="27">
        <v>166.93</v>
      </c>
      <c r="CH30" s="20"/>
      <c r="CI30" s="20">
        <v>390.67</v>
      </c>
      <c r="CJ30" s="20"/>
      <c r="CK30" s="20"/>
      <c r="CL30" s="20"/>
      <c r="CM30" s="27">
        <v>259.39999999999998</v>
      </c>
      <c r="CN30" s="20"/>
      <c r="CO30" s="20"/>
      <c r="CP30" s="20"/>
      <c r="CQ30" s="20"/>
      <c r="CR30" s="27">
        <v>48.03</v>
      </c>
      <c r="CS30" s="20"/>
      <c r="CT30" s="20"/>
      <c r="CU30" s="20"/>
      <c r="CV30" s="20"/>
      <c r="CW30" s="20"/>
      <c r="CX30" s="20"/>
      <c r="CY30" s="28">
        <v>5697.37</v>
      </c>
      <c r="CZ30" s="27">
        <v>1195.6099999999999</v>
      </c>
      <c r="DA30" s="27">
        <v>398.54</v>
      </c>
      <c r="DB30" s="27">
        <v>42.65</v>
      </c>
      <c r="DC30" s="27">
        <v>104.51</v>
      </c>
      <c r="DD30" s="20"/>
      <c r="DE30" s="27">
        <v>41.43</v>
      </c>
      <c r="DF30" s="28">
        <v>1782.74</v>
      </c>
      <c r="DG30" s="28">
        <v>12063.41</v>
      </c>
    </row>
    <row r="31" spans="2:111" s="31" customFormat="1" ht="14.5" x14ac:dyDescent="0.35">
      <c r="B31" s="20">
        <v>38</v>
      </c>
      <c r="C31" s="20" t="s">
        <v>187</v>
      </c>
      <c r="D31" s="20" t="s">
        <v>105</v>
      </c>
      <c r="E31" s="20" t="s">
        <v>215</v>
      </c>
      <c r="F31" s="20" t="s">
        <v>444</v>
      </c>
      <c r="G31" s="20" t="s">
        <v>445</v>
      </c>
      <c r="H31" s="20" t="s">
        <v>446</v>
      </c>
      <c r="I31" s="20" t="s">
        <v>58</v>
      </c>
      <c r="J31" s="20" t="s">
        <v>215</v>
      </c>
      <c r="K31" s="20" t="s">
        <v>66</v>
      </c>
      <c r="L31" s="21">
        <v>34230</v>
      </c>
      <c r="M31" s="20" t="s">
        <v>320</v>
      </c>
      <c r="N31" s="20" t="s">
        <v>129</v>
      </c>
      <c r="O31" s="20" t="s">
        <v>60</v>
      </c>
      <c r="P31" s="20" t="s">
        <v>321</v>
      </c>
      <c r="Q31" s="20" t="s">
        <v>322</v>
      </c>
      <c r="R31" s="20" t="s">
        <v>783</v>
      </c>
      <c r="S31" s="20" t="s">
        <v>106</v>
      </c>
      <c r="T31" s="20" t="s">
        <v>65</v>
      </c>
      <c r="U31" s="20" t="s">
        <v>73</v>
      </c>
      <c r="V31" s="20" t="s">
        <v>1154</v>
      </c>
      <c r="W31" s="20" t="s">
        <v>898</v>
      </c>
      <c r="X31" s="20" t="s">
        <v>922</v>
      </c>
      <c r="Y31" s="20" t="s">
        <v>65</v>
      </c>
      <c r="Z31" s="20" t="s">
        <v>1529</v>
      </c>
      <c r="AA31" s="20" t="s">
        <v>1568</v>
      </c>
      <c r="AB31" s="21">
        <v>45103</v>
      </c>
      <c r="AC31" s="20"/>
      <c r="AD31" s="20"/>
      <c r="AE31" s="27">
        <v>29</v>
      </c>
      <c r="AF31" s="20"/>
      <c r="AG31" s="20">
        <v>1</v>
      </c>
      <c r="AH31" s="20"/>
      <c r="AI31" s="20"/>
      <c r="AJ31" s="20"/>
      <c r="AK31" s="20"/>
      <c r="AL31" s="20"/>
      <c r="AM31" s="20"/>
      <c r="AN31" s="20"/>
      <c r="AO31" s="20"/>
      <c r="AP31" s="20"/>
      <c r="AQ31" s="20" t="s">
        <v>1784</v>
      </c>
      <c r="AR31" s="20" t="s">
        <v>1784</v>
      </c>
      <c r="AS31" s="29">
        <v>1565.2</v>
      </c>
      <c r="AT31" s="63">
        <v>113</v>
      </c>
      <c r="AU31" s="27">
        <v>1513.03</v>
      </c>
      <c r="AV31" s="20">
        <v>113</v>
      </c>
      <c r="AW31" s="20"/>
      <c r="AX31" s="20"/>
      <c r="AY31" s="20"/>
      <c r="AZ31" s="20">
        <v>81.52</v>
      </c>
      <c r="BA31" s="20"/>
      <c r="BB31" s="20"/>
      <c r="BC31" s="20"/>
      <c r="BD31" s="20"/>
      <c r="BE31" s="20">
        <v>390</v>
      </c>
      <c r="BF31" s="20"/>
      <c r="BG31" s="20">
        <v>520</v>
      </c>
      <c r="BH31" s="20"/>
      <c r="BI31" s="20"/>
      <c r="BJ31" s="20"/>
      <c r="BK31" s="20"/>
      <c r="BL31" s="20"/>
      <c r="BM31" s="20"/>
      <c r="BN31" s="20"/>
      <c r="BO31" s="27"/>
      <c r="BP31" s="20"/>
      <c r="BQ31" s="20"/>
      <c r="BR31" s="20"/>
      <c r="BS31" s="27">
        <v>48.03</v>
      </c>
      <c r="BT31" s="20">
        <v>100</v>
      </c>
      <c r="BU31" s="20"/>
      <c r="BV31" s="20"/>
      <c r="BW31" s="20"/>
      <c r="BX31" s="20"/>
      <c r="BY31" s="28">
        <v>2765.58</v>
      </c>
      <c r="BZ31" s="20"/>
      <c r="CA31" s="20"/>
      <c r="CB31" s="20"/>
      <c r="CC31" s="27"/>
      <c r="CD31" s="20"/>
      <c r="CE31" s="27">
        <v>209.76</v>
      </c>
      <c r="CF31" s="20"/>
      <c r="CG31" s="27">
        <v>28.74</v>
      </c>
      <c r="CH31" s="20"/>
      <c r="CI31" s="20"/>
      <c r="CJ31" s="20"/>
      <c r="CK31" s="20"/>
      <c r="CL31" s="20"/>
      <c r="CM31" s="27"/>
      <c r="CN31" s="20"/>
      <c r="CO31" s="20"/>
      <c r="CP31" s="20"/>
      <c r="CQ31" s="20"/>
      <c r="CR31" s="27">
        <v>48.03</v>
      </c>
      <c r="CS31" s="20"/>
      <c r="CT31" s="20"/>
      <c r="CU31" s="20"/>
      <c r="CV31" s="20">
        <v>100</v>
      </c>
      <c r="CW31" s="20">
        <v>254.33</v>
      </c>
      <c r="CX31" s="20"/>
      <c r="CY31" s="28">
        <v>640.86</v>
      </c>
      <c r="CZ31" s="27">
        <v>141.58000000000001</v>
      </c>
      <c r="DA31" s="27">
        <v>47.19</v>
      </c>
      <c r="DB31" s="27">
        <v>7.34</v>
      </c>
      <c r="DC31" s="27">
        <v>12.38</v>
      </c>
      <c r="DD31" s="20"/>
      <c r="DE31" s="27">
        <v>7.13</v>
      </c>
      <c r="DF31" s="28">
        <v>215.62</v>
      </c>
      <c r="DG31" s="28">
        <v>2124.7199999999998</v>
      </c>
    </row>
    <row r="32" spans="2:111" s="31" customFormat="1" ht="14.5" x14ac:dyDescent="0.35">
      <c r="B32" s="20">
        <v>39</v>
      </c>
      <c r="C32" s="20" t="s">
        <v>187</v>
      </c>
      <c r="D32" s="20" t="s">
        <v>105</v>
      </c>
      <c r="E32" s="20" t="s">
        <v>216</v>
      </c>
      <c r="F32" s="20" t="s">
        <v>447</v>
      </c>
      <c r="G32" s="20" t="s">
        <v>448</v>
      </c>
      <c r="H32" s="20" t="s">
        <v>449</v>
      </c>
      <c r="I32" s="20" t="s">
        <v>58</v>
      </c>
      <c r="J32" s="20" t="s">
        <v>216</v>
      </c>
      <c r="K32" s="20" t="s">
        <v>59</v>
      </c>
      <c r="L32" s="21">
        <v>30102</v>
      </c>
      <c r="M32" s="20" t="s">
        <v>320</v>
      </c>
      <c r="N32" s="20" t="s">
        <v>129</v>
      </c>
      <c r="O32" s="20" t="s">
        <v>60</v>
      </c>
      <c r="P32" s="20" t="s">
        <v>321</v>
      </c>
      <c r="Q32" s="20" t="s">
        <v>322</v>
      </c>
      <c r="R32" s="20" t="s">
        <v>779</v>
      </c>
      <c r="S32" s="20" t="s">
        <v>782</v>
      </c>
      <c r="T32" s="20" t="s">
        <v>137</v>
      </c>
      <c r="U32" s="20" t="s">
        <v>64</v>
      </c>
      <c r="V32" s="20" t="s">
        <v>1454</v>
      </c>
      <c r="W32" s="20" t="s">
        <v>898</v>
      </c>
      <c r="X32" s="20" t="s">
        <v>923</v>
      </c>
      <c r="Y32" s="20" t="s">
        <v>65</v>
      </c>
      <c r="Z32" s="20" t="s">
        <v>1529</v>
      </c>
      <c r="AA32" s="20" t="s">
        <v>1569</v>
      </c>
      <c r="AB32" s="21">
        <v>44621</v>
      </c>
      <c r="AC32" s="20"/>
      <c r="AD32" s="20"/>
      <c r="AE32" s="27">
        <v>30</v>
      </c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>
        <v>1</v>
      </c>
      <c r="AQ32" s="20" t="s">
        <v>1784</v>
      </c>
      <c r="AR32" s="20" t="s">
        <v>1784</v>
      </c>
      <c r="AS32" s="29">
        <v>1954.4</v>
      </c>
      <c r="AT32" s="63">
        <v>113</v>
      </c>
      <c r="AU32" s="27">
        <v>1954.4</v>
      </c>
      <c r="AV32" s="20">
        <v>113</v>
      </c>
      <c r="AW32" s="20"/>
      <c r="AX32" s="20"/>
      <c r="AY32" s="20"/>
      <c r="AZ32" s="20"/>
      <c r="BA32" s="20"/>
      <c r="BB32" s="20"/>
      <c r="BC32" s="20"/>
      <c r="BD32" s="20"/>
      <c r="BE32" s="20">
        <v>390</v>
      </c>
      <c r="BF32" s="20"/>
      <c r="BG32" s="20">
        <v>520</v>
      </c>
      <c r="BH32" s="20"/>
      <c r="BI32" s="20"/>
      <c r="BJ32" s="20"/>
      <c r="BK32" s="20"/>
      <c r="BL32" s="20"/>
      <c r="BM32" s="20"/>
      <c r="BN32" s="20">
        <v>137.83000000000001</v>
      </c>
      <c r="BO32" s="27"/>
      <c r="BP32" s="20"/>
      <c r="BQ32" s="20"/>
      <c r="BR32" s="20"/>
      <c r="BS32" s="27">
        <v>48.03</v>
      </c>
      <c r="BT32" s="20"/>
      <c r="BU32" s="20">
        <v>586.32000000000005</v>
      </c>
      <c r="BV32" s="20"/>
      <c r="BW32" s="20"/>
      <c r="BX32" s="20"/>
      <c r="BY32" s="28">
        <v>3749.58</v>
      </c>
      <c r="BZ32" s="20"/>
      <c r="CA32" s="20"/>
      <c r="CB32" s="20"/>
      <c r="CC32" s="27">
        <v>58.56</v>
      </c>
      <c r="CD32" s="20"/>
      <c r="CE32" s="27">
        <v>318.16000000000003</v>
      </c>
      <c r="CF32" s="20"/>
      <c r="CG32" s="27">
        <v>43.59</v>
      </c>
      <c r="CH32" s="20"/>
      <c r="CI32" s="20"/>
      <c r="CJ32" s="20"/>
      <c r="CK32" s="20"/>
      <c r="CL32" s="20"/>
      <c r="CM32" s="27"/>
      <c r="CN32" s="20"/>
      <c r="CO32" s="20"/>
      <c r="CP32" s="20"/>
      <c r="CQ32" s="20"/>
      <c r="CR32" s="27">
        <v>48.03</v>
      </c>
      <c r="CS32" s="20"/>
      <c r="CT32" s="20"/>
      <c r="CU32" s="20"/>
      <c r="CV32" s="20"/>
      <c r="CW32" s="20"/>
      <c r="CX32" s="20"/>
      <c r="CY32" s="28">
        <v>468.34</v>
      </c>
      <c r="CZ32" s="27">
        <v>214.75</v>
      </c>
      <c r="DA32" s="27">
        <v>71.58</v>
      </c>
      <c r="DB32" s="27">
        <v>11.14</v>
      </c>
      <c r="DC32" s="27">
        <v>18.77</v>
      </c>
      <c r="DD32" s="20"/>
      <c r="DE32" s="27">
        <v>10.82</v>
      </c>
      <c r="DF32" s="28">
        <v>327.06</v>
      </c>
      <c r="DG32" s="28">
        <v>3281.24</v>
      </c>
    </row>
    <row r="33" spans="2:111" s="31" customFormat="1" ht="14.5" x14ac:dyDescent="0.35">
      <c r="B33" s="20">
        <v>43</v>
      </c>
      <c r="C33" s="20" t="s">
        <v>187</v>
      </c>
      <c r="D33" s="20" t="s">
        <v>105</v>
      </c>
      <c r="E33" s="20" t="s">
        <v>219</v>
      </c>
      <c r="F33" s="20" t="s">
        <v>458</v>
      </c>
      <c r="G33" s="20" t="s">
        <v>459</v>
      </c>
      <c r="H33" s="20" t="s">
        <v>460</v>
      </c>
      <c r="I33" s="20" t="s">
        <v>58</v>
      </c>
      <c r="J33" s="20" t="s">
        <v>219</v>
      </c>
      <c r="K33" s="20" t="s">
        <v>66</v>
      </c>
      <c r="L33" s="21">
        <v>30143</v>
      </c>
      <c r="M33" s="20" t="s">
        <v>320</v>
      </c>
      <c r="N33" s="20" t="s">
        <v>129</v>
      </c>
      <c r="O33" s="20" t="s">
        <v>60</v>
      </c>
      <c r="P33" s="20" t="s">
        <v>321</v>
      </c>
      <c r="Q33" s="20" t="s">
        <v>322</v>
      </c>
      <c r="R33" s="20" t="s">
        <v>783</v>
      </c>
      <c r="S33" s="20" t="s">
        <v>106</v>
      </c>
      <c r="T33" s="20" t="s">
        <v>63</v>
      </c>
      <c r="U33" s="20" t="s">
        <v>64</v>
      </c>
      <c r="V33" s="20" t="s">
        <v>809</v>
      </c>
      <c r="W33" s="20" t="s">
        <v>891</v>
      </c>
      <c r="X33" s="20" t="s">
        <v>926</v>
      </c>
      <c r="Y33" s="20" t="s">
        <v>63</v>
      </c>
      <c r="Z33" s="20" t="s">
        <v>1529</v>
      </c>
      <c r="AA33" s="20" t="s">
        <v>1572</v>
      </c>
      <c r="AB33" s="21">
        <v>45134</v>
      </c>
      <c r="AC33" s="20"/>
      <c r="AD33" s="20"/>
      <c r="AE33" s="27">
        <v>30</v>
      </c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>
        <v>1</v>
      </c>
      <c r="AQ33" s="20" t="s">
        <v>1784</v>
      </c>
      <c r="AR33" s="20" t="s">
        <v>1784</v>
      </c>
      <c r="AS33" s="29">
        <v>1579.2</v>
      </c>
      <c r="AT33" s="63">
        <v>113</v>
      </c>
      <c r="AU33" s="27">
        <v>1579.2</v>
      </c>
      <c r="AV33" s="20">
        <v>113</v>
      </c>
      <c r="AW33" s="20"/>
      <c r="AX33" s="20"/>
      <c r="AY33" s="20"/>
      <c r="AZ33" s="20"/>
      <c r="BA33" s="20"/>
      <c r="BB33" s="20"/>
      <c r="BC33" s="20"/>
      <c r="BD33" s="20"/>
      <c r="BE33" s="20">
        <v>390</v>
      </c>
      <c r="BF33" s="20"/>
      <c r="BG33" s="20">
        <v>520</v>
      </c>
      <c r="BH33" s="20"/>
      <c r="BI33" s="20"/>
      <c r="BJ33" s="20"/>
      <c r="BK33" s="20"/>
      <c r="BL33" s="20"/>
      <c r="BM33" s="20"/>
      <c r="BN33" s="20">
        <v>112.81</v>
      </c>
      <c r="BO33" s="27"/>
      <c r="BP33" s="20"/>
      <c r="BQ33" s="20"/>
      <c r="BR33" s="20"/>
      <c r="BS33" s="27">
        <v>48.03</v>
      </c>
      <c r="BT33" s="20"/>
      <c r="BU33" s="20"/>
      <c r="BV33" s="20"/>
      <c r="BW33" s="20"/>
      <c r="BX33" s="20"/>
      <c r="BY33" s="28">
        <v>2763.04</v>
      </c>
      <c r="BZ33" s="20"/>
      <c r="CA33" s="20"/>
      <c r="CB33" s="20"/>
      <c r="CC33" s="27"/>
      <c r="CD33" s="20"/>
      <c r="CE33" s="27">
        <v>219.5</v>
      </c>
      <c r="CF33" s="20"/>
      <c r="CG33" s="27">
        <v>30.07</v>
      </c>
      <c r="CH33" s="20"/>
      <c r="CI33" s="20"/>
      <c r="CJ33" s="20"/>
      <c r="CK33" s="20"/>
      <c r="CL33" s="20"/>
      <c r="CM33" s="27"/>
      <c r="CN33" s="20"/>
      <c r="CO33" s="20"/>
      <c r="CP33" s="20"/>
      <c r="CQ33" s="20"/>
      <c r="CR33" s="27">
        <v>48.03</v>
      </c>
      <c r="CS33" s="20"/>
      <c r="CT33" s="20"/>
      <c r="CU33" s="20"/>
      <c r="CV33" s="20"/>
      <c r="CW33" s="20"/>
      <c r="CX33" s="20"/>
      <c r="CY33" s="28">
        <v>297.60000000000002</v>
      </c>
      <c r="CZ33" s="27">
        <v>148.16</v>
      </c>
      <c r="DA33" s="27">
        <v>49.39</v>
      </c>
      <c r="DB33" s="27">
        <v>7.68</v>
      </c>
      <c r="DC33" s="27">
        <v>12.95</v>
      </c>
      <c r="DD33" s="20"/>
      <c r="DE33" s="27">
        <v>7.46</v>
      </c>
      <c r="DF33" s="28">
        <v>225.64</v>
      </c>
      <c r="DG33" s="28">
        <v>2465.44</v>
      </c>
    </row>
    <row r="34" spans="2:111" s="31" customFormat="1" ht="14.5" x14ac:dyDescent="0.35">
      <c r="B34" s="20">
        <v>49</v>
      </c>
      <c r="C34" s="20" t="s">
        <v>187</v>
      </c>
      <c r="D34" s="20" t="s">
        <v>105</v>
      </c>
      <c r="E34" s="20" t="s">
        <v>224</v>
      </c>
      <c r="F34" s="20" t="s">
        <v>476</v>
      </c>
      <c r="G34" s="20" t="s">
        <v>118</v>
      </c>
      <c r="H34" s="20" t="s">
        <v>477</v>
      </c>
      <c r="I34" s="20" t="s">
        <v>58</v>
      </c>
      <c r="J34" s="20" t="s">
        <v>224</v>
      </c>
      <c r="K34" s="20" t="s">
        <v>59</v>
      </c>
      <c r="L34" s="21">
        <v>33981</v>
      </c>
      <c r="M34" s="20" t="s">
        <v>320</v>
      </c>
      <c r="N34" s="20" t="s">
        <v>129</v>
      </c>
      <c r="O34" s="20" t="s">
        <v>60</v>
      </c>
      <c r="P34" s="20" t="s">
        <v>321</v>
      </c>
      <c r="Q34" s="20" t="s">
        <v>322</v>
      </c>
      <c r="R34" s="20" t="s">
        <v>779</v>
      </c>
      <c r="S34" s="20" t="s">
        <v>782</v>
      </c>
      <c r="T34" s="20" t="s">
        <v>63</v>
      </c>
      <c r="U34" s="20" t="s">
        <v>64</v>
      </c>
      <c r="V34" s="20" t="s">
        <v>813</v>
      </c>
      <c r="W34" s="20" t="s">
        <v>893</v>
      </c>
      <c r="X34" s="20" t="s">
        <v>931</v>
      </c>
      <c r="Y34" s="20" t="s">
        <v>138</v>
      </c>
      <c r="Z34" s="20" t="s">
        <v>1529</v>
      </c>
      <c r="AA34" s="20" t="s">
        <v>1578</v>
      </c>
      <c r="AB34" s="21">
        <v>44532</v>
      </c>
      <c r="AC34" s="20"/>
      <c r="AD34" s="20"/>
      <c r="AE34" s="27">
        <v>30</v>
      </c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>
        <v>1</v>
      </c>
      <c r="AQ34" s="20" t="s">
        <v>1784</v>
      </c>
      <c r="AR34" s="20" t="s">
        <v>1784</v>
      </c>
      <c r="AS34" s="29">
        <v>1990.1</v>
      </c>
      <c r="AT34" s="63">
        <v>113</v>
      </c>
      <c r="AU34" s="27">
        <v>1990.1</v>
      </c>
      <c r="AV34" s="20">
        <v>113</v>
      </c>
      <c r="AW34" s="20"/>
      <c r="AX34" s="20"/>
      <c r="AY34" s="20"/>
      <c r="AZ34" s="20"/>
      <c r="BA34" s="20"/>
      <c r="BB34" s="20"/>
      <c r="BC34" s="20"/>
      <c r="BD34" s="20"/>
      <c r="BE34" s="20">
        <v>390</v>
      </c>
      <c r="BF34" s="20"/>
      <c r="BG34" s="20">
        <v>520</v>
      </c>
      <c r="BH34" s="20"/>
      <c r="BI34" s="20"/>
      <c r="BJ34" s="20"/>
      <c r="BK34" s="20"/>
      <c r="BL34" s="20"/>
      <c r="BM34" s="20"/>
      <c r="BN34" s="20">
        <v>140.21</v>
      </c>
      <c r="BO34" s="27"/>
      <c r="BP34" s="20"/>
      <c r="BQ34" s="20"/>
      <c r="BR34" s="20"/>
      <c r="BS34" s="27">
        <v>48.03</v>
      </c>
      <c r="BT34" s="20"/>
      <c r="BU34" s="20">
        <v>760.79</v>
      </c>
      <c r="BV34" s="20"/>
      <c r="BW34" s="20"/>
      <c r="BX34" s="20"/>
      <c r="BY34" s="28">
        <v>3962.13</v>
      </c>
      <c r="BZ34" s="20"/>
      <c r="CA34" s="20"/>
      <c r="CB34" s="20"/>
      <c r="CC34" s="27">
        <v>100.44</v>
      </c>
      <c r="CD34" s="20"/>
      <c r="CE34" s="27">
        <v>339.41</v>
      </c>
      <c r="CF34" s="20">
        <v>57.36</v>
      </c>
      <c r="CG34" s="27">
        <v>46.5</v>
      </c>
      <c r="CH34" s="20"/>
      <c r="CI34" s="20"/>
      <c r="CJ34" s="20"/>
      <c r="CK34" s="20"/>
      <c r="CL34" s="20"/>
      <c r="CM34" s="27"/>
      <c r="CN34" s="20"/>
      <c r="CO34" s="20"/>
      <c r="CP34" s="20"/>
      <c r="CQ34" s="20"/>
      <c r="CR34" s="27">
        <v>48.03</v>
      </c>
      <c r="CS34" s="20"/>
      <c r="CT34" s="20"/>
      <c r="CU34" s="20"/>
      <c r="CV34" s="20"/>
      <c r="CW34" s="20"/>
      <c r="CX34" s="20"/>
      <c r="CY34" s="28">
        <v>591.74</v>
      </c>
      <c r="CZ34" s="27">
        <v>305.47000000000003</v>
      </c>
      <c r="DA34" s="27"/>
      <c r="DB34" s="27">
        <v>11.88</v>
      </c>
      <c r="DC34" s="27">
        <v>20.03</v>
      </c>
      <c r="DD34" s="20"/>
      <c r="DE34" s="27">
        <v>11.54</v>
      </c>
      <c r="DF34" s="28">
        <v>348.92</v>
      </c>
      <c r="DG34" s="28">
        <v>3370.39</v>
      </c>
    </row>
    <row r="35" spans="2:111" s="33" customFormat="1" ht="14.5" x14ac:dyDescent="0.35">
      <c r="B35" s="20">
        <v>65</v>
      </c>
      <c r="C35" s="20" t="s">
        <v>187</v>
      </c>
      <c r="D35" s="20" t="s">
        <v>105</v>
      </c>
      <c r="E35" s="20" t="s">
        <v>233</v>
      </c>
      <c r="F35" s="20" t="s">
        <v>508</v>
      </c>
      <c r="G35" s="20" t="s">
        <v>516</v>
      </c>
      <c r="H35" s="20" t="s">
        <v>517</v>
      </c>
      <c r="I35" s="20" t="s">
        <v>58</v>
      </c>
      <c r="J35" s="20" t="s">
        <v>233</v>
      </c>
      <c r="K35" s="20" t="s">
        <v>59</v>
      </c>
      <c r="L35" s="21">
        <v>33768</v>
      </c>
      <c r="M35" s="20" t="s">
        <v>320</v>
      </c>
      <c r="N35" s="20" t="s">
        <v>129</v>
      </c>
      <c r="O35" s="20" t="s">
        <v>60</v>
      </c>
      <c r="P35" s="20" t="s">
        <v>321</v>
      </c>
      <c r="Q35" s="20" t="s">
        <v>322</v>
      </c>
      <c r="R35" s="20" t="s">
        <v>779</v>
      </c>
      <c r="S35" s="20" t="s">
        <v>782</v>
      </c>
      <c r="T35" s="20" t="s">
        <v>137</v>
      </c>
      <c r="U35" s="20" t="s">
        <v>64</v>
      </c>
      <c r="V35" s="20" t="s">
        <v>821</v>
      </c>
      <c r="W35" s="20" t="s">
        <v>893</v>
      </c>
      <c r="X35" s="20" t="s">
        <v>940</v>
      </c>
      <c r="Y35" s="20" t="s">
        <v>138</v>
      </c>
      <c r="Z35" s="20" t="s">
        <v>1529</v>
      </c>
      <c r="AA35" s="20" t="s">
        <v>1592</v>
      </c>
      <c r="AB35" s="21">
        <v>44536</v>
      </c>
      <c r="AC35" s="20"/>
      <c r="AD35" s="20"/>
      <c r="AE35" s="27">
        <v>30</v>
      </c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>
        <v>1</v>
      </c>
      <c r="AQ35" s="20" t="s">
        <v>1784</v>
      </c>
      <c r="AR35" s="20" t="s">
        <v>1784</v>
      </c>
      <c r="AS35" s="29">
        <v>1997.8</v>
      </c>
      <c r="AT35" s="63">
        <v>113</v>
      </c>
      <c r="AU35" s="27">
        <v>1997.8</v>
      </c>
      <c r="AV35" s="20">
        <v>113</v>
      </c>
      <c r="AW35" s="20"/>
      <c r="AX35" s="20"/>
      <c r="AY35" s="20"/>
      <c r="AZ35" s="20"/>
      <c r="BA35" s="20"/>
      <c r="BB35" s="20"/>
      <c r="BC35" s="20"/>
      <c r="BD35" s="20"/>
      <c r="BE35" s="20">
        <v>390</v>
      </c>
      <c r="BF35" s="20"/>
      <c r="BG35" s="20">
        <v>520</v>
      </c>
      <c r="BH35" s="20"/>
      <c r="BI35" s="20"/>
      <c r="BJ35" s="20"/>
      <c r="BK35" s="20"/>
      <c r="BL35" s="20"/>
      <c r="BM35" s="20"/>
      <c r="BN35" s="20">
        <v>140.72</v>
      </c>
      <c r="BO35" s="27"/>
      <c r="BP35" s="20"/>
      <c r="BQ35" s="20"/>
      <c r="BR35" s="20"/>
      <c r="BS35" s="27">
        <v>96.06</v>
      </c>
      <c r="BT35" s="20"/>
      <c r="BU35" s="20">
        <v>460.64</v>
      </c>
      <c r="BV35" s="20"/>
      <c r="BW35" s="20"/>
      <c r="BX35" s="20"/>
      <c r="BY35" s="28">
        <v>3718.22</v>
      </c>
      <c r="BZ35" s="20"/>
      <c r="CA35" s="20"/>
      <c r="CB35" s="20"/>
      <c r="CC35" s="27">
        <v>79.38</v>
      </c>
      <c r="CD35" s="20"/>
      <c r="CE35" s="27">
        <v>310.22000000000003</v>
      </c>
      <c r="CF35" s="20"/>
      <c r="CG35" s="27">
        <v>42.5</v>
      </c>
      <c r="CH35" s="20"/>
      <c r="CI35" s="20"/>
      <c r="CJ35" s="20"/>
      <c r="CK35" s="20"/>
      <c r="CL35" s="20"/>
      <c r="CM35" s="27"/>
      <c r="CN35" s="20"/>
      <c r="CO35" s="20"/>
      <c r="CP35" s="20"/>
      <c r="CQ35" s="20"/>
      <c r="CR35" s="27">
        <v>96.06</v>
      </c>
      <c r="CS35" s="20"/>
      <c r="CT35" s="20"/>
      <c r="CU35" s="20"/>
      <c r="CV35" s="20"/>
      <c r="CW35" s="20"/>
      <c r="CX35" s="20"/>
      <c r="CY35" s="28">
        <v>528.16</v>
      </c>
      <c r="CZ35" s="27">
        <v>209.4</v>
      </c>
      <c r="DA35" s="27">
        <v>69.8</v>
      </c>
      <c r="DB35" s="27">
        <v>10.86</v>
      </c>
      <c r="DC35" s="27">
        <v>18.3</v>
      </c>
      <c r="DD35" s="20"/>
      <c r="DE35" s="27">
        <v>10.55</v>
      </c>
      <c r="DF35" s="28">
        <v>318.91000000000003</v>
      </c>
      <c r="DG35" s="28">
        <v>3190.06</v>
      </c>
    </row>
    <row r="36" spans="2:111" s="33" customFormat="1" ht="14.5" x14ac:dyDescent="0.35">
      <c r="B36" s="32">
        <v>30</v>
      </c>
      <c r="C36" s="32" t="s">
        <v>187</v>
      </c>
      <c r="D36" s="32" t="s">
        <v>109</v>
      </c>
      <c r="E36" s="32" t="s">
        <v>208</v>
      </c>
      <c r="F36" s="32" t="s">
        <v>417</v>
      </c>
      <c r="G36" s="32" t="s">
        <v>352</v>
      </c>
      <c r="H36" s="32" t="s">
        <v>418</v>
      </c>
      <c r="I36" s="32" t="s">
        <v>58</v>
      </c>
      <c r="J36" s="32" t="s">
        <v>208</v>
      </c>
      <c r="K36" s="32" t="s">
        <v>59</v>
      </c>
      <c r="L36" s="37">
        <v>37371</v>
      </c>
      <c r="M36" s="32" t="s">
        <v>419</v>
      </c>
      <c r="N36" s="32" t="s">
        <v>327</v>
      </c>
      <c r="O36" s="32" t="s">
        <v>67</v>
      </c>
      <c r="P36" s="32" t="s">
        <v>1051</v>
      </c>
      <c r="Q36" s="32" t="s">
        <v>1052</v>
      </c>
      <c r="R36" s="32" t="s">
        <v>783</v>
      </c>
      <c r="S36" s="32" t="s">
        <v>780</v>
      </c>
      <c r="T36" s="32" t="s">
        <v>65</v>
      </c>
      <c r="U36" s="32" t="s">
        <v>73</v>
      </c>
      <c r="V36" s="32" t="s">
        <v>1042</v>
      </c>
      <c r="W36" s="32" t="s">
        <v>891</v>
      </c>
      <c r="X36" s="32" t="s">
        <v>915</v>
      </c>
      <c r="Y36" s="32" t="s">
        <v>65</v>
      </c>
      <c r="Z36" s="32" t="s">
        <v>1529</v>
      </c>
      <c r="AA36" s="32" t="s">
        <v>1558</v>
      </c>
      <c r="AB36" s="37">
        <v>45580</v>
      </c>
      <c r="AC36" s="50">
        <v>45930</v>
      </c>
      <c r="AD36" s="32" t="s">
        <v>1579</v>
      </c>
      <c r="AE36" s="36">
        <v>23</v>
      </c>
      <c r="AF36" s="32"/>
      <c r="AG36" s="32">
        <v>7</v>
      </c>
      <c r="AH36" s="32"/>
      <c r="AI36" s="32"/>
      <c r="AJ36" s="32"/>
      <c r="AK36" s="32"/>
      <c r="AL36" s="32"/>
      <c r="AM36" s="32"/>
      <c r="AN36" s="32"/>
      <c r="AO36" s="32"/>
      <c r="AP36" s="32"/>
      <c r="AQ36" s="32">
        <v>10</v>
      </c>
      <c r="AR36" s="32">
        <v>32</v>
      </c>
      <c r="AS36" s="38">
        <v>2163</v>
      </c>
      <c r="AT36" s="68"/>
      <c r="AU36" s="36">
        <v>1658.3</v>
      </c>
      <c r="AV36" s="32"/>
      <c r="AW36" s="32"/>
      <c r="AX36" s="32"/>
      <c r="AY36" s="32"/>
      <c r="AZ36" s="32">
        <v>683.78</v>
      </c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6">
        <v>284.39999999999998</v>
      </c>
      <c r="BP36" s="32"/>
      <c r="BQ36" s="32"/>
      <c r="BR36" s="32"/>
      <c r="BS36" s="36">
        <v>96.07</v>
      </c>
      <c r="BT36" s="32"/>
      <c r="BU36" s="32"/>
      <c r="BV36" s="32">
        <v>158.62</v>
      </c>
      <c r="BW36" s="32">
        <v>13.52</v>
      </c>
      <c r="BX36" s="32"/>
      <c r="BY36" s="39">
        <v>2894.69</v>
      </c>
      <c r="BZ36" s="32"/>
      <c r="CA36" s="32">
        <v>865.2</v>
      </c>
      <c r="CB36" s="32"/>
      <c r="CC36" s="36"/>
      <c r="CD36" s="32"/>
      <c r="CE36" s="36">
        <v>279.86</v>
      </c>
      <c r="CF36" s="32"/>
      <c r="CG36" s="36">
        <v>38.340000000000003</v>
      </c>
      <c r="CH36" s="32"/>
      <c r="CI36" s="32"/>
      <c r="CJ36" s="32"/>
      <c r="CK36" s="32"/>
      <c r="CL36" s="32"/>
      <c r="CM36" s="36">
        <v>284.39999999999998</v>
      </c>
      <c r="CN36" s="32"/>
      <c r="CO36" s="32"/>
      <c r="CP36" s="32"/>
      <c r="CQ36" s="32"/>
      <c r="CR36" s="36">
        <v>96.07</v>
      </c>
      <c r="CS36" s="32"/>
      <c r="CT36" s="32"/>
      <c r="CU36" s="32"/>
      <c r="CV36" s="32"/>
      <c r="CW36" s="32"/>
      <c r="CX36" s="32"/>
      <c r="CY36" s="39">
        <v>1563.87</v>
      </c>
      <c r="CZ36" s="36">
        <v>251.88</v>
      </c>
      <c r="DA36" s="36"/>
      <c r="DB36" s="36">
        <v>9.8000000000000007</v>
      </c>
      <c r="DC36" s="36">
        <v>16.510000000000002</v>
      </c>
      <c r="DD36" s="32">
        <v>20.99</v>
      </c>
      <c r="DE36" s="36">
        <v>9.52</v>
      </c>
      <c r="DF36" s="39">
        <v>308.7</v>
      </c>
      <c r="DG36" s="39">
        <v>1330.82</v>
      </c>
    </row>
    <row r="37" spans="2:111" s="31" customFormat="1" ht="14.5" x14ac:dyDescent="0.35">
      <c r="B37" s="20">
        <v>31</v>
      </c>
      <c r="C37" s="20" t="s">
        <v>187</v>
      </c>
      <c r="D37" s="20" t="s">
        <v>105</v>
      </c>
      <c r="E37" s="20" t="s">
        <v>209</v>
      </c>
      <c r="F37" s="20" t="s">
        <v>420</v>
      </c>
      <c r="G37" s="20" t="s">
        <v>421</v>
      </c>
      <c r="H37" s="20" t="s">
        <v>422</v>
      </c>
      <c r="I37" s="20" t="s">
        <v>58</v>
      </c>
      <c r="J37" s="20" t="s">
        <v>209</v>
      </c>
      <c r="K37" s="20" t="s">
        <v>66</v>
      </c>
      <c r="L37" s="21">
        <v>36943</v>
      </c>
      <c r="M37" s="20" t="s">
        <v>1386</v>
      </c>
      <c r="N37" s="20" t="s">
        <v>327</v>
      </c>
      <c r="O37" s="20" t="s">
        <v>75</v>
      </c>
      <c r="P37" s="20" t="s">
        <v>78</v>
      </c>
      <c r="Q37" s="20" t="s">
        <v>79</v>
      </c>
      <c r="R37" s="20" t="s">
        <v>783</v>
      </c>
      <c r="S37" s="20" t="s">
        <v>787</v>
      </c>
      <c r="T37" s="20" t="s">
        <v>65</v>
      </c>
      <c r="U37" s="20" t="s">
        <v>73</v>
      </c>
      <c r="V37" s="20" t="s">
        <v>1043</v>
      </c>
      <c r="W37" s="20" t="s">
        <v>891</v>
      </c>
      <c r="X37" s="20" t="s">
        <v>916</v>
      </c>
      <c r="Y37" s="20" t="s">
        <v>65</v>
      </c>
      <c r="Z37" s="20" t="s">
        <v>1529</v>
      </c>
      <c r="AA37" s="20" t="s">
        <v>1559</v>
      </c>
      <c r="AB37" s="21">
        <v>45444</v>
      </c>
      <c r="AC37" s="20"/>
      <c r="AD37" s="20"/>
      <c r="AE37" s="27">
        <v>30</v>
      </c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 t="s">
        <v>1784</v>
      </c>
      <c r="AR37" s="20" t="s">
        <v>1784</v>
      </c>
      <c r="AS37" s="29">
        <v>4000</v>
      </c>
      <c r="AT37" s="63"/>
      <c r="AU37" s="27">
        <v>4000</v>
      </c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7">
        <v>154.5</v>
      </c>
      <c r="BP37" s="20"/>
      <c r="BQ37" s="20"/>
      <c r="BR37" s="20"/>
      <c r="BS37" s="27">
        <v>48.03</v>
      </c>
      <c r="BT37" s="20"/>
      <c r="BU37" s="20"/>
      <c r="BV37" s="20"/>
      <c r="BW37" s="20"/>
      <c r="BX37" s="20"/>
      <c r="BY37" s="28">
        <v>4202.53</v>
      </c>
      <c r="BZ37" s="20"/>
      <c r="CA37" s="20"/>
      <c r="CB37" s="20"/>
      <c r="CC37" s="27">
        <v>151.79</v>
      </c>
      <c r="CD37" s="20"/>
      <c r="CE37" s="27">
        <v>415.45</v>
      </c>
      <c r="CF37" s="20"/>
      <c r="CG37" s="27">
        <v>56.92</v>
      </c>
      <c r="CH37" s="20"/>
      <c r="CI37" s="20"/>
      <c r="CJ37" s="20"/>
      <c r="CK37" s="20"/>
      <c r="CL37" s="20"/>
      <c r="CM37" s="27">
        <v>154.5</v>
      </c>
      <c r="CN37" s="20"/>
      <c r="CO37" s="20"/>
      <c r="CP37" s="20"/>
      <c r="CQ37" s="20"/>
      <c r="CR37" s="27">
        <v>48.03</v>
      </c>
      <c r="CS37" s="20"/>
      <c r="CT37" s="20"/>
      <c r="CU37" s="20"/>
      <c r="CV37" s="20"/>
      <c r="CW37" s="20"/>
      <c r="CX37" s="20"/>
      <c r="CY37" s="28">
        <v>826.69</v>
      </c>
      <c r="CZ37" s="27">
        <v>280.43</v>
      </c>
      <c r="DA37" s="27">
        <v>93.48</v>
      </c>
      <c r="DB37" s="27">
        <v>14.54</v>
      </c>
      <c r="DC37" s="27">
        <v>24.51</v>
      </c>
      <c r="DD37" s="20"/>
      <c r="DE37" s="27">
        <v>14.13</v>
      </c>
      <c r="DF37" s="28">
        <v>427.09</v>
      </c>
      <c r="DG37" s="28">
        <v>3375.84</v>
      </c>
    </row>
    <row r="38" spans="2:111" s="31" customFormat="1" ht="14.5" x14ac:dyDescent="0.35">
      <c r="B38" s="20">
        <v>32</v>
      </c>
      <c r="C38" s="20" t="s">
        <v>187</v>
      </c>
      <c r="D38" s="20" t="s">
        <v>109</v>
      </c>
      <c r="E38" s="20" t="s">
        <v>210</v>
      </c>
      <c r="F38" s="20" t="s">
        <v>426</v>
      </c>
      <c r="G38" s="20" t="s">
        <v>427</v>
      </c>
      <c r="H38" s="20" t="s">
        <v>428</v>
      </c>
      <c r="I38" s="20" t="s">
        <v>58</v>
      </c>
      <c r="J38" s="20" t="s">
        <v>210</v>
      </c>
      <c r="K38" s="20" t="s">
        <v>59</v>
      </c>
      <c r="L38" s="21">
        <v>30156</v>
      </c>
      <c r="M38" s="20" t="s">
        <v>419</v>
      </c>
      <c r="N38" s="20" t="s">
        <v>327</v>
      </c>
      <c r="O38" s="20" t="s">
        <v>67</v>
      </c>
      <c r="P38" s="20" t="s">
        <v>1051</v>
      </c>
      <c r="Q38" s="20" t="s">
        <v>1052</v>
      </c>
      <c r="R38" s="20" t="s">
        <v>779</v>
      </c>
      <c r="S38" s="20" t="s">
        <v>780</v>
      </c>
      <c r="T38" s="20" t="s">
        <v>137</v>
      </c>
      <c r="U38" s="20" t="s">
        <v>64</v>
      </c>
      <c r="V38" s="20" t="s">
        <v>802</v>
      </c>
      <c r="W38" s="20" t="s">
        <v>107</v>
      </c>
      <c r="X38" s="20" t="s">
        <v>917</v>
      </c>
      <c r="Y38" s="20" t="s">
        <v>1560</v>
      </c>
      <c r="Z38" s="20" t="s">
        <v>1529</v>
      </c>
      <c r="AA38" s="20" t="s">
        <v>1561</v>
      </c>
      <c r="AB38" s="21">
        <v>44236</v>
      </c>
      <c r="AC38" s="20"/>
      <c r="AD38" s="20"/>
      <c r="AE38" s="27">
        <v>30</v>
      </c>
      <c r="AF38" s="20"/>
      <c r="AG38" s="20"/>
      <c r="AH38" s="20"/>
      <c r="AI38" s="20"/>
      <c r="AJ38" s="20"/>
      <c r="AK38" s="20"/>
      <c r="AL38" s="20">
        <v>1</v>
      </c>
      <c r="AM38" s="20"/>
      <c r="AN38" s="20"/>
      <c r="AO38" s="20"/>
      <c r="AP38" s="20"/>
      <c r="AQ38" s="20">
        <v>46</v>
      </c>
      <c r="AR38" s="20">
        <v>47</v>
      </c>
      <c r="AS38" s="29">
        <v>3296</v>
      </c>
      <c r="AT38" s="63">
        <v>150</v>
      </c>
      <c r="AU38" s="27">
        <v>3296</v>
      </c>
      <c r="AV38" s="20">
        <v>150</v>
      </c>
      <c r="AW38" s="20">
        <v>17.95</v>
      </c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7">
        <v>390.6</v>
      </c>
      <c r="BP38" s="20"/>
      <c r="BQ38" s="20"/>
      <c r="BR38" s="20"/>
      <c r="BS38" s="27">
        <v>144.1</v>
      </c>
      <c r="BT38" s="20"/>
      <c r="BU38" s="20"/>
      <c r="BV38" s="20">
        <v>355.01</v>
      </c>
      <c r="BW38" s="20">
        <v>94.76</v>
      </c>
      <c r="BX38" s="20"/>
      <c r="BY38" s="28">
        <v>4448.42</v>
      </c>
      <c r="BZ38" s="20"/>
      <c r="CA38" s="20">
        <v>1318.4</v>
      </c>
      <c r="CB38" s="20">
        <v>559.55999999999995</v>
      </c>
      <c r="CC38" s="27">
        <v>183.25</v>
      </c>
      <c r="CD38" s="20"/>
      <c r="CE38" s="27"/>
      <c r="CF38" s="20"/>
      <c r="CG38" s="27"/>
      <c r="CH38" s="20"/>
      <c r="CI38" s="20"/>
      <c r="CJ38" s="20"/>
      <c r="CK38" s="20"/>
      <c r="CL38" s="20"/>
      <c r="CM38" s="27">
        <v>390.6</v>
      </c>
      <c r="CN38" s="20"/>
      <c r="CO38" s="20"/>
      <c r="CP38" s="20"/>
      <c r="CQ38" s="20"/>
      <c r="CR38" s="27">
        <v>144.1</v>
      </c>
      <c r="CS38" s="20"/>
      <c r="CT38" s="20"/>
      <c r="CU38" s="20"/>
      <c r="CV38" s="20"/>
      <c r="CW38" s="20">
        <v>250</v>
      </c>
      <c r="CX38" s="20"/>
      <c r="CY38" s="28">
        <v>2845.91</v>
      </c>
      <c r="CZ38" s="27">
        <v>290.54000000000002</v>
      </c>
      <c r="DA38" s="27">
        <v>96.85</v>
      </c>
      <c r="DB38" s="27">
        <v>15.07</v>
      </c>
      <c r="DC38" s="27">
        <v>25.4</v>
      </c>
      <c r="DD38" s="20">
        <v>32.28</v>
      </c>
      <c r="DE38" s="27">
        <v>14.63</v>
      </c>
      <c r="DF38" s="28">
        <v>474.77</v>
      </c>
      <c r="DG38" s="28">
        <v>1602.51</v>
      </c>
    </row>
    <row r="39" spans="2:111" s="31" customFormat="1" ht="14.5" x14ac:dyDescent="0.35">
      <c r="B39" s="20">
        <v>33</v>
      </c>
      <c r="C39" s="20" t="s">
        <v>187</v>
      </c>
      <c r="D39" s="20" t="s">
        <v>105</v>
      </c>
      <c r="E39" s="20" t="s">
        <v>211</v>
      </c>
      <c r="F39" s="20" t="s">
        <v>429</v>
      </c>
      <c r="G39" s="20" t="s">
        <v>430</v>
      </c>
      <c r="H39" s="20" t="s">
        <v>431</v>
      </c>
      <c r="I39" s="20" t="s">
        <v>58</v>
      </c>
      <c r="J39" s="20" t="s">
        <v>211</v>
      </c>
      <c r="K39" s="20" t="s">
        <v>66</v>
      </c>
      <c r="L39" s="21">
        <v>35796</v>
      </c>
      <c r="M39" s="20" t="s">
        <v>1153</v>
      </c>
      <c r="N39" s="20" t="s">
        <v>132</v>
      </c>
      <c r="O39" s="20" t="s">
        <v>67</v>
      </c>
      <c r="P39" s="20" t="s">
        <v>358</v>
      </c>
      <c r="Q39" s="20" t="s">
        <v>359</v>
      </c>
      <c r="R39" s="20" t="s">
        <v>783</v>
      </c>
      <c r="S39" s="20" t="s">
        <v>787</v>
      </c>
      <c r="T39" s="20" t="s">
        <v>63</v>
      </c>
      <c r="U39" s="20" t="s">
        <v>64</v>
      </c>
      <c r="V39" s="20" t="s">
        <v>803</v>
      </c>
      <c r="W39" s="20" t="s">
        <v>898</v>
      </c>
      <c r="X39" s="20" t="s">
        <v>918</v>
      </c>
      <c r="Y39" s="20" t="s">
        <v>65</v>
      </c>
      <c r="Z39" s="20" t="s">
        <v>1529</v>
      </c>
      <c r="AA39" s="20" t="s">
        <v>1562</v>
      </c>
      <c r="AB39" s="21">
        <v>45323</v>
      </c>
      <c r="AC39" s="20"/>
      <c r="AD39" s="20"/>
      <c r="AE39" s="27">
        <v>30</v>
      </c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 t="s">
        <v>1784</v>
      </c>
      <c r="AR39" s="20" t="s">
        <v>1784</v>
      </c>
      <c r="AS39" s="29">
        <v>3840</v>
      </c>
      <c r="AT39" s="63"/>
      <c r="AU39" s="27">
        <v>3840</v>
      </c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7">
        <v>292.5</v>
      </c>
      <c r="BP39" s="20"/>
      <c r="BQ39" s="20"/>
      <c r="BR39" s="20"/>
      <c r="BS39" s="27">
        <v>48.03</v>
      </c>
      <c r="BT39" s="20"/>
      <c r="BU39" s="20"/>
      <c r="BV39" s="20"/>
      <c r="BW39" s="20"/>
      <c r="BX39" s="20"/>
      <c r="BY39" s="28">
        <v>4180.53</v>
      </c>
      <c r="BZ39" s="20"/>
      <c r="CA39" s="20"/>
      <c r="CB39" s="20"/>
      <c r="CC39" s="27">
        <v>165.25</v>
      </c>
      <c r="CD39" s="20"/>
      <c r="CE39" s="27">
        <v>413.25</v>
      </c>
      <c r="CF39" s="20"/>
      <c r="CG39" s="27">
        <v>56.62</v>
      </c>
      <c r="CH39" s="20"/>
      <c r="CI39" s="20"/>
      <c r="CJ39" s="20"/>
      <c r="CK39" s="20"/>
      <c r="CL39" s="20"/>
      <c r="CM39" s="27">
        <v>292.5</v>
      </c>
      <c r="CN39" s="20"/>
      <c r="CO39" s="20"/>
      <c r="CP39" s="20"/>
      <c r="CQ39" s="20"/>
      <c r="CR39" s="27">
        <v>48.03</v>
      </c>
      <c r="CS39" s="20"/>
      <c r="CT39" s="20"/>
      <c r="CU39" s="20"/>
      <c r="CV39" s="20"/>
      <c r="CW39" s="20"/>
      <c r="CX39" s="20"/>
      <c r="CY39" s="28">
        <v>975.65</v>
      </c>
      <c r="CZ39" s="27">
        <v>278.94</v>
      </c>
      <c r="DA39" s="27">
        <v>92.98</v>
      </c>
      <c r="DB39" s="27">
        <v>14.46</v>
      </c>
      <c r="DC39" s="27">
        <v>24.38</v>
      </c>
      <c r="DD39" s="20">
        <v>30.99</v>
      </c>
      <c r="DE39" s="27">
        <v>14.05</v>
      </c>
      <c r="DF39" s="28">
        <v>455.8</v>
      </c>
      <c r="DG39" s="28">
        <v>3204.88</v>
      </c>
    </row>
    <row r="40" spans="2:111" s="33" customFormat="1" ht="14.5" x14ac:dyDescent="0.35">
      <c r="B40" s="20">
        <v>73</v>
      </c>
      <c r="C40" s="20" t="s">
        <v>187</v>
      </c>
      <c r="D40" s="20" t="s">
        <v>105</v>
      </c>
      <c r="E40" s="20" t="s">
        <v>1725</v>
      </c>
      <c r="F40" s="20" t="s">
        <v>671</v>
      </c>
      <c r="G40" s="20" t="s">
        <v>352</v>
      </c>
      <c r="H40" s="20" t="s">
        <v>1726</v>
      </c>
      <c r="I40" s="20" t="s">
        <v>58</v>
      </c>
      <c r="J40" s="20" t="s">
        <v>1725</v>
      </c>
      <c r="K40" s="20" t="s">
        <v>59</v>
      </c>
      <c r="L40" s="21">
        <v>37373</v>
      </c>
      <c r="M40" s="20" t="s">
        <v>320</v>
      </c>
      <c r="N40" s="20" t="s">
        <v>129</v>
      </c>
      <c r="O40" s="20" t="s">
        <v>60</v>
      </c>
      <c r="P40" s="20" t="s">
        <v>321</v>
      </c>
      <c r="Q40" s="20" t="s">
        <v>322</v>
      </c>
      <c r="R40" s="20" t="s">
        <v>783</v>
      </c>
      <c r="S40" s="20" t="s">
        <v>106</v>
      </c>
      <c r="T40" s="20" t="s">
        <v>63</v>
      </c>
      <c r="U40" s="20" t="s">
        <v>64</v>
      </c>
      <c r="V40" s="20" t="s">
        <v>1727</v>
      </c>
      <c r="W40" s="20" t="s">
        <v>891</v>
      </c>
      <c r="X40" s="20" t="s">
        <v>1728</v>
      </c>
      <c r="Y40" s="20"/>
      <c r="Z40" s="20"/>
      <c r="AA40" s="20"/>
      <c r="AB40" s="21">
        <v>45922</v>
      </c>
      <c r="AC40" s="20"/>
      <c r="AD40" s="20"/>
      <c r="AE40" s="27">
        <v>9</v>
      </c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 t="s">
        <v>1784</v>
      </c>
      <c r="AR40" s="20" t="s">
        <v>1784</v>
      </c>
      <c r="AS40" s="29">
        <v>1610</v>
      </c>
      <c r="AT40" s="63"/>
      <c r="AU40" s="27">
        <v>483</v>
      </c>
      <c r="AV40" s="20"/>
      <c r="AW40" s="20"/>
      <c r="AX40" s="20"/>
      <c r="AY40" s="20"/>
      <c r="AZ40" s="20"/>
      <c r="BA40" s="20"/>
      <c r="BB40" s="20"/>
      <c r="BC40" s="20"/>
      <c r="BD40" s="20"/>
      <c r="BE40" s="20">
        <v>117</v>
      </c>
      <c r="BF40" s="20"/>
      <c r="BG40" s="20">
        <v>156</v>
      </c>
      <c r="BH40" s="20"/>
      <c r="BI40" s="20"/>
      <c r="BJ40" s="20"/>
      <c r="BK40" s="20"/>
      <c r="BL40" s="20"/>
      <c r="BM40" s="20"/>
      <c r="BN40" s="20"/>
      <c r="BO40" s="27"/>
      <c r="BP40" s="20"/>
      <c r="BQ40" s="20"/>
      <c r="BR40" s="20"/>
      <c r="BS40" s="27"/>
      <c r="BT40" s="20"/>
      <c r="BU40" s="20">
        <v>207</v>
      </c>
      <c r="BV40" s="20"/>
      <c r="BW40" s="20"/>
      <c r="BX40" s="20"/>
      <c r="BY40" s="28">
        <v>963</v>
      </c>
      <c r="BZ40" s="20"/>
      <c r="CA40" s="20"/>
      <c r="CB40" s="20"/>
      <c r="CC40" s="27"/>
      <c r="CD40" s="20"/>
      <c r="CE40" s="27">
        <v>80.7</v>
      </c>
      <c r="CF40" s="20"/>
      <c r="CG40" s="27">
        <v>11.06</v>
      </c>
      <c r="CH40" s="20"/>
      <c r="CI40" s="20"/>
      <c r="CJ40" s="20"/>
      <c r="CK40" s="20"/>
      <c r="CL40" s="20"/>
      <c r="CM40" s="27"/>
      <c r="CN40" s="20"/>
      <c r="CO40" s="20"/>
      <c r="CP40" s="20"/>
      <c r="CQ40" s="20"/>
      <c r="CR40" s="27"/>
      <c r="CS40" s="20"/>
      <c r="CT40" s="20"/>
      <c r="CU40" s="20"/>
      <c r="CV40" s="20"/>
      <c r="CW40" s="20"/>
      <c r="CX40" s="20"/>
      <c r="CY40" s="28">
        <v>91.76</v>
      </c>
      <c r="CZ40" s="27">
        <v>101.7</v>
      </c>
      <c r="DA40" s="27"/>
      <c r="DB40" s="27">
        <v>2.82</v>
      </c>
      <c r="DC40" s="27">
        <v>4.76</v>
      </c>
      <c r="DD40" s="20"/>
      <c r="DE40" s="27">
        <v>2.74</v>
      </c>
      <c r="DF40" s="28">
        <v>112.02</v>
      </c>
      <c r="DG40" s="28">
        <v>871.24</v>
      </c>
    </row>
    <row r="41" spans="2:111" s="31" customFormat="1" ht="14.5" x14ac:dyDescent="0.35">
      <c r="B41" s="20">
        <v>41</v>
      </c>
      <c r="C41" s="20" t="s">
        <v>187</v>
      </c>
      <c r="D41" s="20" t="s">
        <v>109</v>
      </c>
      <c r="E41" s="20" t="s">
        <v>1455</v>
      </c>
      <c r="F41" s="20" t="s">
        <v>1456</v>
      </c>
      <c r="G41" s="20" t="s">
        <v>1718</v>
      </c>
      <c r="H41" s="20" t="s">
        <v>1457</v>
      </c>
      <c r="I41" s="20" t="s">
        <v>58</v>
      </c>
      <c r="J41" s="20" t="s">
        <v>1455</v>
      </c>
      <c r="K41" s="20" t="s">
        <v>59</v>
      </c>
      <c r="L41" s="21">
        <v>35967</v>
      </c>
      <c r="M41" s="20" t="s">
        <v>419</v>
      </c>
      <c r="N41" s="20" t="s">
        <v>327</v>
      </c>
      <c r="O41" s="20" t="s">
        <v>67</v>
      </c>
      <c r="P41" s="20" t="s">
        <v>110</v>
      </c>
      <c r="Q41" s="20" t="s">
        <v>111</v>
      </c>
      <c r="R41" s="20" t="s">
        <v>783</v>
      </c>
      <c r="S41" s="20" t="s">
        <v>780</v>
      </c>
      <c r="T41" s="20" t="s">
        <v>137</v>
      </c>
      <c r="U41" s="20" t="s">
        <v>64</v>
      </c>
      <c r="V41" s="20" t="s">
        <v>1458</v>
      </c>
      <c r="W41" s="20" t="s">
        <v>891</v>
      </c>
      <c r="X41" s="20" t="s">
        <v>1459</v>
      </c>
      <c r="Y41" s="20"/>
      <c r="Z41" s="20"/>
      <c r="AA41" s="20"/>
      <c r="AB41" s="21">
        <v>45873</v>
      </c>
      <c r="AC41" s="20"/>
      <c r="AD41" s="20"/>
      <c r="AE41" s="27">
        <v>30</v>
      </c>
      <c r="AF41" s="20"/>
      <c r="AG41" s="20"/>
      <c r="AH41" s="20"/>
      <c r="AI41" s="20"/>
      <c r="AJ41" s="20"/>
      <c r="AK41" s="20"/>
      <c r="AL41" s="20"/>
      <c r="AM41" s="20"/>
      <c r="AN41" s="20"/>
      <c r="AO41" s="20">
        <v>12</v>
      </c>
      <c r="AP41" s="20"/>
      <c r="AQ41" s="20">
        <v>62</v>
      </c>
      <c r="AR41" s="20" t="s">
        <v>1784</v>
      </c>
      <c r="AS41" s="29">
        <v>2100</v>
      </c>
      <c r="AT41" s="63">
        <v>113</v>
      </c>
      <c r="AU41" s="27">
        <v>2100</v>
      </c>
      <c r="AV41" s="20">
        <v>113</v>
      </c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>
        <v>221.31</v>
      </c>
      <c r="BM41" s="20"/>
      <c r="BN41" s="20"/>
      <c r="BO41" s="27">
        <v>331.6</v>
      </c>
      <c r="BP41" s="20"/>
      <c r="BQ41" s="20"/>
      <c r="BR41" s="20"/>
      <c r="BS41" s="27">
        <v>96.07</v>
      </c>
      <c r="BT41" s="20"/>
      <c r="BU41" s="20"/>
      <c r="BV41" s="20"/>
      <c r="BW41" s="20">
        <v>81.38</v>
      </c>
      <c r="BX41" s="20"/>
      <c r="BY41" s="28">
        <v>2943.36</v>
      </c>
      <c r="BZ41" s="20"/>
      <c r="CA41" s="20">
        <v>840</v>
      </c>
      <c r="CB41" s="20"/>
      <c r="CC41" s="27"/>
      <c r="CD41" s="20"/>
      <c r="CE41" s="27">
        <v>284.73</v>
      </c>
      <c r="CF41" s="20"/>
      <c r="CG41" s="27">
        <v>39.01</v>
      </c>
      <c r="CH41" s="20"/>
      <c r="CI41" s="20"/>
      <c r="CJ41" s="20"/>
      <c r="CK41" s="20"/>
      <c r="CL41" s="20"/>
      <c r="CM41" s="27">
        <v>331.6</v>
      </c>
      <c r="CN41" s="20"/>
      <c r="CO41" s="20"/>
      <c r="CP41" s="20"/>
      <c r="CQ41" s="20"/>
      <c r="CR41" s="27">
        <v>96.07</v>
      </c>
      <c r="CS41" s="20"/>
      <c r="CT41" s="20"/>
      <c r="CU41" s="20"/>
      <c r="CV41" s="20"/>
      <c r="CW41" s="20"/>
      <c r="CX41" s="20"/>
      <c r="CY41" s="28">
        <v>1591.41</v>
      </c>
      <c r="CZ41" s="27">
        <v>192.19</v>
      </c>
      <c r="DA41" s="27">
        <v>64.06</v>
      </c>
      <c r="DB41" s="27">
        <v>9.9700000000000006</v>
      </c>
      <c r="DC41" s="27">
        <v>16.8</v>
      </c>
      <c r="DD41" s="20">
        <v>21.35</v>
      </c>
      <c r="DE41" s="27">
        <v>9.68</v>
      </c>
      <c r="DF41" s="28">
        <v>314.05</v>
      </c>
      <c r="DG41" s="28">
        <v>1351.95</v>
      </c>
    </row>
    <row r="42" spans="2:111" s="31" customFormat="1" ht="14.5" x14ac:dyDescent="0.35">
      <c r="B42" s="20">
        <v>74</v>
      </c>
      <c r="C42" s="20" t="s">
        <v>187</v>
      </c>
      <c r="D42" s="20" t="s">
        <v>105</v>
      </c>
      <c r="E42" s="20" t="s">
        <v>239</v>
      </c>
      <c r="F42" s="20" t="s">
        <v>535</v>
      </c>
      <c r="G42" s="20" t="s">
        <v>536</v>
      </c>
      <c r="H42" s="20" t="s">
        <v>537</v>
      </c>
      <c r="I42" s="20" t="s">
        <v>58</v>
      </c>
      <c r="J42" s="20" t="s">
        <v>239</v>
      </c>
      <c r="K42" s="20" t="s">
        <v>59</v>
      </c>
      <c r="L42" s="21">
        <v>33546</v>
      </c>
      <c r="M42" s="20" t="s">
        <v>320</v>
      </c>
      <c r="N42" s="20" t="s">
        <v>129</v>
      </c>
      <c r="O42" s="20" t="s">
        <v>60</v>
      </c>
      <c r="P42" s="20" t="s">
        <v>321</v>
      </c>
      <c r="Q42" s="20" t="s">
        <v>322</v>
      </c>
      <c r="R42" s="20" t="s">
        <v>783</v>
      </c>
      <c r="S42" s="20" t="s">
        <v>106</v>
      </c>
      <c r="T42" s="20" t="s">
        <v>63</v>
      </c>
      <c r="U42" s="20" t="s">
        <v>64</v>
      </c>
      <c r="V42" s="20" t="s">
        <v>827</v>
      </c>
      <c r="W42" s="20" t="s">
        <v>891</v>
      </c>
      <c r="X42" s="20" t="s">
        <v>946</v>
      </c>
      <c r="Y42" s="20" t="s">
        <v>63</v>
      </c>
      <c r="Z42" s="20" t="s">
        <v>1529</v>
      </c>
      <c r="AA42" s="20" t="s">
        <v>1598</v>
      </c>
      <c r="AB42" s="21">
        <v>44886</v>
      </c>
      <c r="AC42" s="20"/>
      <c r="AD42" s="20"/>
      <c r="AE42" s="27">
        <v>30</v>
      </c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>
        <v>1</v>
      </c>
      <c r="AQ42" s="20" t="s">
        <v>1784</v>
      </c>
      <c r="AR42" s="20" t="s">
        <v>1784</v>
      </c>
      <c r="AS42" s="29">
        <v>1593.9</v>
      </c>
      <c r="AT42" s="63">
        <v>113</v>
      </c>
      <c r="AU42" s="27">
        <v>1593.9</v>
      </c>
      <c r="AV42" s="20">
        <v>113</v>
      </c>
      <c r="AW42" s="20"/>
      <c r="AX42" s="20"/>
      <c r="AY42" s="20"/>
      <c r="AZ42" s="20"/>
      <c r="BA42" s="20"/>
      <c r="BB42" s="20"/>
      <c r="BC42" s="20"/>
      <c r="BD42" s="20"/>
      <c r="BE42" s="20">
        <v>390</v>
      </c>
      <c r="BF42" s="20"/>
      <c r="BG42" s="20">
        <v>520</v>
      </c>
      <c r="BH42" s="20"/>
      <c r="BI42" s="20"/>
      <c r="BJ42" s="20"/>
      <c r="BK42" s="20"/>
      <c r="BL42" s="20"/>
      <c r="BM42" s="20"/>
      <c r="BN42" s="20">
        <v>113.79</v>
      </c>
      <c r="BO42" s="27"/>
      <c r="BP42" s="20"/>
      <c r="BQ42" s="20"/>
      <c r="BR42" s="20"/>
      <c r="BS42" s="27">
        <v>48.03</v>
      </c>
      <c r="BT42" s="20"/>
      <c r="BU42" s="20">
        <v>536.91999999999996</v>
      </c>
      <c r="BV42" s="20"/>
      <c r="BW42" s="20"/>
      <c r="BX42" s="20"/>
      <c r="BY42" s="28">
        <v>3315.64</v>
      </c>
      <c r="BZ42" s="20"/>
      <c r="CA42" s="20"/>
      <c r="CB42" s="20"/>
      <c r="CC42" s="27"/>
      <c r="CD42" s="20"/>
      <c r="CE42" s="27">
        <v>274.76</v>
      </c>
      <c r="CF42" s="20">
        <v>42.59</v>
      </c>
      <c r="CG42" s="27">
        <v>37.64</v>
      </c>
      <c r="CH42" s="20"/>
      <c r="CI42" s="20"/>
      <c r="CJ42" s="20"/>
      <c r="CK42" s="20"/>
      <c r="CL42" s="20"/>
      <c r="CM42" s="27"/>
      <c r="CN42" s="20"/>
      <c r="CO42" s="20"/>
      <c r="CP42" s="20"/>
      <c r="CQ42" s="20"/>
      <c r="CR42" s="27">
        <v>48.03</v>
      </c>
      <c r="CS42" s="20"/>
      <c r="CT42" s="20"/>
      <c r="CU42" s="20"/>
      <c r="CV42" s="20"/>
      <c r="CW42" s="20"/>
      <c r="CX42" s="20"/>
      <c r="CY42" s="28">
        <v>403.02</v>
      </c>
      <c r="CZ42" s="27">
        <v>185.46</v>
      </c>
      <c r="DA42" s="27">
        <v>61.82</v>
      </c>
      <c r="DB42" s="27">
        <v>9.6199999999999992</v>
      </c>
      <c r="DC42" s="27">
        <v>16.21</v>
      </c>
      <c r="DD42" s="20"/>
      <c r="DE42" s="27">
        <v>9.34</v>
      </c>
      <c r="DF42" s="28">
        <v>282.45</v>
      </c>
      <c r="DG42" s="28">
        <v>2912.62</v>
      </c>
    </row>
    <row r="43" spans="2:111" s="31" customFormat="1" ht="14.5" x14ac:dyDescent="0.35">
      <c r="B43" s="20">
        <v>37</v>
      </c>
      <c r="C43" s="20" t="s">
        <v>187</v>
      </c>
      <c r="D43" s="20" t="s">
        <v>105</v>
      </c>
      <c r="E43" s="20" t="s">
        <v>214</v>
      </c>
      <c r="F43" s="20" t="s">
        <v>436</v>
      </c>
      <c r="G43" s="20" t="s">
        <v>440</v>
      </c>
      <c r="H43" s="20" t="s">
        <v>441</v>
      </c>
      <c r="I43" s="20" t="s">
        <v>58</v>
      </c>
      <c r="J43" s="20" t="s">
        <v>214</v>
      </c>
      <c r="K43" s="20" t="s">
        <v>66</v>
      </c>
      <c r="L43" s="21">
        <v>34237</v>
      </c>
      <c r="M43" s="20" t="s">
        <v>442</v>
      </c>
      <c r="N43" s="20" t="s">
        <v>129</v>
      </c>
      <c r="O43" s="20" t="s">
        <v>443</v>
      </c>
      <c r="P43" s="20" t="s">
        <v>115</v>
      </c>
      <c r="Q43" s="20" t="s">
        <v>131</v>
      </c>
      <c r="R43" s="20" t="s">
        <v>779</v>
      </c>
      <c r="S43" s="20" t="s">
        <v>806</v>
      </c>
      <c r="T43" s="20" t="s">
        <v>137</v>
      </c>
      <c r="U43" s="20" t="s">
        <v>64</v>
      </c>
      <c r="V43" s="20" t="s">
        <v>807</v>
      </c>
      <c r="W43" s="20" t="s">
        <v>896</v>
      </c>
      <c r="X43" s="20" t="s">
        <v>921</v>
      </c>
      <c r="Y43" s="20" t="s">
        <v>1566</v>
      </c>
      <c r="Z43" s="20" t="s">
        <v>1529</v>
      </c>
      <c r="AA43" s="20" t="s">
        <v>1567</v>
      </c>
      <c r="AB43" s="21">
        <v>44053</v>
      </c>
      <c r="AC43" s="20"/>
      <c r="AD43" s="20"/>
      <c r="AE43" s="27">
        <v>29</v>
      </c>
      <c r="AF43" s="20"/>
      <c r="AG43" s="20"/>
      <c r="AH43" s="20"/>
      <c r="AI43" s="20"/>
      <c r="AJ43" s="20">
        <v>1</v>
      </c>
      <c r="AK43" s="20"/>
      <c r="AL43" s="20"/>
      <c r="AM43" s="20"/>
      <c r="AN43" s="20"/>
      <c r="AO43" s="20"/>
      <c r="AP43" s="20"/>
      <c r="AQ43" s="20" t="s">
        <v>1784</v>
      </c>
      <c r="AR43" s="20" t="s">
        <v>1784</v>
      </c>
      <c r="AS43" s="29">
        <v>11144</v>
      </c>
      <c r="AT43" s="63">
        <v>113</v>
      </c>
      <c r="AU43" s="27">
        <v>10772.53</v>
      </c>
      <c r="AV43" s="20">
        <v>113</v>
      </c>
      <c r="AW43" s="20"/>
      <c r="AX43" s="20"/>
      <c r="AY43" s="20"/>
      <c r="AZ43" s="20"/>
      <c r="BA43" s="20"/>
      <c r="BB43" s="20">
        <v>371.46</v>
      </c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7">
        <v>13.5</v>
      </c>
      <c r="BP43" s="20"/>
      <c r="BQ43" s="20"/>
      <c r="BR43" s="20"/>
      <c r="BS43" s="27">
        <v>48.03</v>
      </c>
      <c r="BT43" s="20">
        <v>100</v>
      </c>
      <c r="BU43" s="20"/>
      <c r="BV43" s="20"/>
      <c r="BW43" s="20"/>
      <c r="BX43" s="20"/>
      <c r="BY43" s="28">
        <v>11418.52</v>
      </c>
      <c r="BZ43" s="20"/>
      <c r="CA43" s="20"/>
      <c r="CB43" s="20"/>
      <c r="CC43" s="27">
        <v>1374.43</v>
      </c>
      <c r="CD43" s="20"/>
      <c r="CE43" s="27">
        <v>1127.05</v>
      </c>
      <c r="CF43" s="20"/>
      <c r="CG43" s="27">
        <v>154.41</v>
      </c>
      <c r="CH43" s="20"/>
      <c r="CI43" s="20">
        <v>260.45</v>
      </c>
      <c r="CJ43" s="20"/>
      <c r="CK43" s="20"/>
      <c r="CL43" s="20"/>
      <c r="CM43" s="27">
        <v>13.5</v>
      </c>
      <c r="CN43" s="20"/>
      <c r="CO43" s="20"/>
      <c r="CP43" s="20"/>
      <c r="CQ43" s="20"/>
      <c r="CR43" s="27">
        <v>48.03</v>
      </c>
      <c r="CS43" s="20">
        <v>4.9000000000000004</v>
      </c>
      <c r="CT43" s="20"/>
      <c r="CU43" s="20"/>
      <c r="CV43" s="20">
        <v>100</v>
      </c>
      <c r="CW43" s="20"/>
      <c r="CX43" s="20"/>
      <c r="CY43" s="28">
        <v>3082.77</v>
      </c>
      <c r="CZ43" s="27">
        <v>760.76</v>
      </c>
      <c r="DA43" s="27">
        <v>253.59</v>
      </c>
      <c r="DB43" s="27">
        <v>39.450000000000003</v>
      </c>
      <c r="DC43" s="27">
        <v>66.5</v>
      </c>
      <c r="DD43" s="20"/>
      <c r="DE43" s="27">
        <v>38.32</v>
      </c>
      <c r="DF43" s="28">
        <v>1158.6199999999999</v>
      </c>
      <c r="DG43" s="28">
        <v>8335.75</v>
      </c>
    </row>
    <row r="44" spans="2:111" s="31" customFormat="1" ht="14.5" x14ac:dyDescent="0.35">
      <c r="B44" s="20">
        <v>95</v>
      </c>
      <c r="C44" s="20" t="s">
        <v>187</v>
      </c>
      <c r="D44" s="20" t="s">
        <v>105</v>
      </c>
      <c r="E44" s="20" t="s">
        <v>252</v>
      </c>
      <c r="F44" s="20" t="s">
        <v>574</v>
      </c>
      <c r="G44" s="20" t="s">
        <v>575</v>
      </c>
      <c r="H44" s="20" t="s">
        <v>576</v>
      </c>
      <c r="I44" s="20" t="s">
        <v>58</v>
      </c>
      <c r="J44" s="20" t="s">
        <v>252</v>
      </c>
      <c r="K44" s="20" t="s">
        <v>59</v>
      </c>
      <c r="L44" s="21">
        <v>31849</v>
      </c>
      <c r="M44" s="20" t="s">
        <v>320</v>
      </c>
      <c r="N44" s="20" t="s">
        <v>129</v>
      </c>
      <c r="O44" s="20" t="s">
        <v>60</v>
      </c>
      <c r="P44" s="20" t="s">
        <v>321</v>
      </c>
      <c r="Q44" s="20" t="s">
        <v>322</v>
      </c>
      <c r="R44" s="20" t="s">
        <v>779</v>
      </c>
      <c r="S44" s="20" t="s">
        <v>106</v>
      </c>
      <c r="T44" s="20" t="s">
        <v>63</v>
      </c>
      <c r="U44" s="20" t="s">
        <v>64</v>
      </c>
      <c r="V44" s="20" t="s">
        <v>838</v>
      </c>
      <c r="W44" s="20" t="s">
        <v>891</v>
      </c>
      <c r="X44" s="20" t="s">
        <v>957</v>
      </c>
      <c r="Y44" s="20" t="s">
        <v>63</v>
      </c>
      <c r="Z44" s="20" t="s">
        <v>1529</v>
      </c>
      <c r="AA44" s="20" t="s">
        <v>1616</v>
      </c>
      <c r="AB44" s="21">
        <v>44669</v>
      </c>
      <c r="AC44" s="20"/>
      <c r="AD44" s="20"/>
      <c r="AE44" s="27">
        <v>30</v>
      </c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>
        <v>1</v>
      </c>
      <c r="AQ44" s="20" t="s">
        <v>1784</v>
      </c>
      <c r="AR44" s="20" t="s">
        <v>1784</v>
      </c>
      <c r="AS44" s="29">
        <v>1954.4</v>
      </c>
      <c r="AT44" s="63"/>
      <c r="AU44" s="27">
        <v>1954.4</v>
      </c>
      <c r="AV44" s="20"/>
      <c r="AW44" s="20"/>
      <c r="AX44" s="20"/>
      <c r="AY44" s="20"/>
      <c r="AZ44" s="20"/>
      <c r="BA44" s="20"/>
      <c r="BB44" s="20"/>
      <c r="BC44" s="20"/>
      <c r="BD44" s="20"/>
      <c r="BE44" s="20">
        <v>390</v>
      </c>
      <c r="BF44" s="20"/>
      <c r="BG44" s="20">
        <v>520</v>
      </c>
      <c r="BH44" s="20"/>
      <c r="BI44" s="20"/>
      <c r="BJ44" s="20"/>
      <c r="BK44" s="20"/>
      <c r="BL44" s="20"/>
      <c r="BM44" s="20"/>
      <c r="BN44" s="20">
        <v>130.29</v>
      </c>
      <c r="BO44" s="27"/>
      <c r="BP44" s="20"/>
      <c r="BQ44" s="20"/>
      <c r="BR44" s="20"/>
      <c r="BS44" s="27">
        <v>48.03</v>
      </c>
      <c r="BT44" s="20"/>
      <c r="BU44" s="20">
        <v>614.79999999999995</v>
      </c>
      <c r="BV44" s="20"/>
      <c r="BW44" s="20"/>
      <c r="BX44" s="20">
        <v>331.69</v>
      </c>
      <c r="BY44" s="28">
        <v>3989.21</v>
      </c>
      <c r="BZ44" s="20">
        <v>262.3</v>
      </c>
      <c r="CA44" s="20"/>
      <c r="CB44" s="20"/>
      <c r="CC44" s="27">
        <v>140.86000000000001</v>
      </c>
      <c r="CD44" s="20"/>
      <c r="CE44" s="27">
        <v>342.12</v>
      </c>
      <c r="CF44" s="20">
        <v>53.03</v>
      </c>
      <c r="CG44" s="27">
        <v>46.87</v>
      </c>
      <c r="CH44" s="20"/>
      <c r="CI44" s="20"/>
      <c r="CJ44" s="20"/>
      <c r="CK44" s="20"/>
      <c r="CL44" s="20"/>
      <c r="CM44" s="27"/>
      <c r="CN44" s="20"/>
      <c r="CO44" s="20"/>
      <c r="CP44" s="20"/>
      <c r="CQ44" s="20"/>
      <c r="CR44" s="27">
        <v>48.03</v>
      </c>
      <c r="CS44" s="20"/>
      <c r="CT44" s="20"/>
      <c r="CU44" s="20"/>
      <c r="CV44" s="20"/>
      <c r="CW44" s="20">
        <v>326</v>
      </c>
      <c r="CX44" s="20"/>
      <c r="CY44" s="28">
        <v>1219.21</v>
      </c>
      <c r="CZ44" s="27">
        <v>230.93</v>
      </c>
      <c r="DA44" s="27">
        <v>76.98</v>
      </c>
      <c r="DB44" s="27">
        <v>11.97</v>
      </c>
      <c r="DC44" s="27">
        <v>20.190000000000001</v>
      </c>
      <c r="DD44" s="20"/>
      <c r="DE44" s="27">
        <v>11.63</v>
      </c>
      <c r="DF44" s="28">
        <v>351.7</v>
      </c>
      <c r="DG44" s="28">
        <v>2770</v>
      </c>
    </row>
    <row r="45" spans="2:111" s="31" customFormat="1" ht="14.5" x14ac:dyDescent="0.35">
      <c r="B45" s="20">
        <v>98</v>
      </c>
      <c r="C45" s="20" t="s">
        <v>187</v>
      </c>
      <c r="D45" s="20" t="s">
        <v>105</v>
      </c>
      <c r="E45" s="20" t="s">
        <v>255</v>
      </c>
      <c r="F45" s="20" t="s">
        <v>583</v>
      </c>
      <c r="G45" s="20" t="s">
        <v>584</v>
      </c>
      <c r="H45" s="20" t="s">
        <v>585</v>
      </c>
      <c r="I45" s="20" t="s">
        <v>58</v>
      </c>
      <c r="J45" s="20" t="s">
        <v>255</v>
      </c>
      <c r="K45" s="20" t="s">
        <v>59</v>
      </c>
      <c r="L45" s="21">
        <v>28099</v>
      </c>
      <c r="M45" s="20" t="s">
        <v>320</v>
      </c>
      <c r="N45" s="20" t="s">
        <v>129</v>
      </c>
      <c r="O45" s="20" t="s">
        <v>60</v>
      </c>
      <c r="P45" s="20" t="s">
        <v>321</v>
      </c>
      <c r="Q45" s="20" t="s">
        <v>322</v>
      </c>
      <c r="R45" s="20" t="s">
        <v>779</v>
      </c>
      <c r="S45" s="20" t="s">
        <v>782</v>
      </c>
      <c r="T45" s="20" t="s">
        <v>65</v>
      </c>
      <c r="U45" s="20" t="s">
        <v>73</v>
      </c>
      <c r="V45" s="20" t="s">
        <v>841</v>
      </c>
      <c r="W45" s="20" t="s">
        <v>898</v>
      </c>
      <c r="X45" s="20" t="s">
        <v>960</v>
      </c>
      <c r="Y45" s="20" t="s">
        <v>65</v>
      </c>
      <c r="Z45" s="20" t="s">
        <v>1529</v>
      </c>
      <c r="AA45" s="20" t="s">
        <v>1619</v>
      </c>
      <c r="AB45" s="21">
        <v>44621</v>
      </c>
      <c r="AC45" s="20"/>
      <c r="AD45" s="20"/>
      <c r="AE45" s="27">
        <v>30</v>
      </c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 t="s">
        <v>1784</v>
      </c>
      <c r="AR45" s="20" t="s">
        <v>1784</v>
      </c>
      <c r="AS45" s="29">
        <v>1954.4</v>
      </c>
      <c r="AT45" s="63">
        <v>113</v>
      </c>
      <c r="AU45" s="27">
        <v>1954.4</v>
      </c>
      <c r="AV45" s="20">
        <v>113</v>
      </c>
      <c r="AW45" s="20"/>
      <c r="AX45" s="20"/>
      <c r="AY45" s="20"/>
      <c r="AZ45" s="20"/>
      <c r="BA45" s="20"/>
      <c r="BB45" s="20"/>
      <c r="BC45" s="20"/>
      <c r="BD45" s="20"/>
      <c r="BE45" s="20">
        <v>390</v>
      </c>
      <c r="BF45" s="20"/>
      <c r="BG45" s="20">
        <v>520</v>
      </c>
      <c r="BH45" s="20"/>
      <c r="BI45" s="20"/>
      <c r="BJ45" s="20"/>
      <c r="BK45" s="20"/>
      <c r="BL45" s="20"/>
      <c r="BM45" s="20"/>
      <c r="BN45" s="20"/>
      <c r="BO45" s="27"/>
      <c r="BP45" s="20"/>
      <c r="BQ45" s="20"/>
      <c r="BR45" s="20"/>
      <c r="BS45" s="27">
        <v>48.03</v>
      </c>
      <c r="BT45" s="20"/>
      <c r="BU45" s="20"/>
      <c r="BV45" s="20"/>
      <c r="BW45" s="20"/>
      <c r="BX45" s="20"/>
      <c r="BY45" s="28">
        <v>3025.43</v>
      </c>
      <c r="BZ45" s="20"/>
      <c r="CA45" s="20"/>
      <c r="CB45" s="20"/>
      <c r="CC45" s="27">
        <v>17.46</v>
      </c>
      <c r="CD45" s="20"/>
      <c r="CE45" s="27">
        <v>245.74</v>
      </c>
      <c r="CF45" s="20"/>
      <c r="CG45" s="27">
        <v>33.67</v>
      </c>
      <c r="CH45" s="20"/>
      <c r="CI45" s="20">
        <v>174.94</v>
      </c>
      <c r="CJ45" s="20"/>
      <c r="CK45" s="20"/>
      <c r="CL45" s="20"/>
      <c r="CM45" s="27"/>
      <c r="CN45" s="20"/>
      <c r="CO45" s="20"/>
      <c r="CP45" s="20"/>
      <c r="CQ45" s="20"/>
      <c r="CR45" s="27">
        <v>48.03</v>
      </c>
      <c r="CS45" s="20"/>
      <c r="CT45" s="20"/>
      <c r="CU45" s="20"/>
      <c r="CV45" s="20"/>
      <c r="CW45" s="20"/>
      <c r="CX45" s="20"/>
      <c r="CY45" s="28">
        <v>519.84</v>
      </c>
      <c r="CZ45" s="27">
        <v>165.87</v>
      </c>
      <c r="DA45" s="27">
        <v>55.29</v>
      </c>
      <c r="DB45" s="27">
        <v>8.6</v>
      </c>
      <c r="DC45" s="27">
        <v>14.5</v>
      </c>
      <c r="DD45" s="20"/>
      <c r="DE45" s="27">
        <v>8.36</v>
      </c>
      <c r="DF45" s="28">
        <v>252.62</v>
      </c>
      <c r="DG45" s="28">
        <v>2505.59</v>
      </c>
    </row>
    <row r="46" spans="2:111" s="31" customFormat="1" ht="14.5" x14ac:dyDescent="0.35">
      <c r="B46" s="20">
        <v>46</v>
      </c>
      <c r="C46" s="20" t="s">
        <v>187</v>
      </c>
      <c r="D46" s="20" t="s">
        <v>109</v>
      </c>
      <c r="E46" s="20" t="s">
        <v>221</v>
      </c>
      <c r="F46" s="20" t="s">
        <v>465</v>
      </c>
      <c r="G46" s="20" t="s">
        <v>466</v>
      </c>
      <c r="H46" s="20" t="s">
        <v>467</v>
      </c>
      <c r="I46" s="20" t="s">
        <v>58</v>
      </c>
      <c r="J46" s="20" t="s">
        <v>221</v>
      </c>
      <c r="K46" s="20" t="s">
        <v>59</v>
      </c>
      <c r="L46" s="21">
        <v>24646</v>
      </c>
      <c r="M46" s="20" t="s">
        <v>419</v>
      </c>
      <c r="N46" s="20" t="s">
        <v>327</v>
      </c>
      <c r="O46" s="20" t="s">
        <v>67</v>
      </c>
      <c r="P46" s="20" t="s">
        <v>83</v>
      </c>
      <c r="Q46" s="20" t="s">
        <v>84</v>
      </c>
      <c r="R46" s="20" t="s">
        <v>779</v>
      </c>
      <c r="S46" s="20" t="s">
        <v>780</v>
      </c>
      <c r="T46" s="20" t="s">
        <v>137</v>
      </c>
      <c r="U46" s="20" t="s">
        <v>64</v>
      </c>
      <c r="V46" s="20" t="s">
        <v>811</v>
      </c>
      <c r="W46" s="20" t="s">
        <v>893</v>
      </c>
      <c r="X46" s="20" t="s">
        <v>928</v>
      </c>
      <c r="Y46" s="20" t="s">
        <v>137</v>
      </c>
      <c r="Z46" s="20" t="s">
        <v>1529</v>
      </c>
      <c r="AA46" s="20" t="s">
        <v>1575</v>
      </c>
      <c r="AB46" s="21">
        <v>44236</v>
      </c>
      <c r="AC46" s="20"/>
      <c r="AD46" s="20"/>
      <c r="AE46" s="27">
        <v>30</v>
      </c>
      <c r="AF46" s="20"/>
      <c r="AG46" s="20"/>
      <c r="AH46" s="20"/>
      <c r="AI46" s="20"/>
      <c r="AJ46" s="20"/>
      <c r="AK46" s="20"/>
      <c r="AL46" s="20">
        <v>2</v>
      </c>
      <c r="AM46" s="20">
        <v>3</v>
      </c>
      <c r="AN46" s="20"/>
      <c r="AO46" s="20"/>
      <c r="AP46" s="20"/>
      <c r="AQ46" s="20">
        <v>50</v>
      </c>
      <c r="AR46" s="20">
        <v>72</v>
      </c>
      <c r="AS46" s="29">
        <v>3296</v>
      </c>
      <c r="AT46" s="63">
        <v>150</v>
      </c>
      <c r="AU46" s="27">
        <v>3296</v>
      </c>
      <c r="AV46" s="20">
        <v>150</v>
      </c>
      <c r="AW46" s="20">
        <v>35.9</v>
      </c>
      <c r="AX46" s="20">
        <v>58.15</v>
      </c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7">
        <v>360.2</v>
      </c>
      <c r="BP46" s="20"/>
      <c r="BQ46" s="20"/>
      <c r="BR46" s="20"/>
      <c r="BS46" s="27">
        <v>96.07</v>
      </c>
      <c r="BT46" s="20"/>
      <c r="BU46" s="20"/>
      <c r="BV46" s="20">
        <v>543.84</v>
      </c>
      <c r="BW46" s="20">
        <v>103</v>
      </c>
      <c r="BX46" s="20"/>
      <c r="BY46" s="28">
        <v>4643.16</v>
      </c>
      <c r="BZ46" s="20"/>
      <c r="CA46" s="20">
        <v>1318.4</v>
      </c>
      <c r="CB46" s="20"/>
      <c r="CC46" s="27">
        <v>262.87</v>
      </c>
      <c r="CD46" s="20"/>
      <c r="CE46" s="27">
        <v>454.71</v>
      </c>
      <c r="CF46" s="20">
        <v>76.849999999999994</v>
      </c>
      <c r="CG46" s="27">
        <v>62.3</v>
      </c>
      <c r="CH46" s="20"/>
      <c r="CI46" s="20"/>
      <c r="CJ46" s="20"/>
      <c r="CK46" s="20"/>
      <c r="CL46" s="20"/>
      <c r="CM46" s="27">
        <v>360.2</v>
      </c>
      <c r="CN46" s="20"/>
      <c r="CO46" s="20"/>
      <c r="CP46" s="20"/>
      <c r="CQ46" s="20"/>
      <c r="CR46" s="27">
        <v>96.07</v>
      </c>
      <c r="CS46" s="20"/>
      <c r="CT46" s="20"/>
      <c r="CU46" s="20"/>
      <c r="CV46" s="20"/>
      <c r="CW46" s="20"/>
      <c r="CX46" s="20"/>
      <c r="CY46" s="28">
        <v>2631.4</v>
      </c>
      <c r="CZ46" s="27">
        <v>306.93</v>
      </c>
      <c r="DA46" s="27">
        <v>102.31</v>
      </c>
      <c r="DB46" s="27">
        <v>15.91</v>
      </c>
      <c r="DC46" s="27">
        <v>26.83</v>
      </c>
      <c r="DD46" s="20">
        <v>34.1</v>
      </c>
      <c r="DE46" s="27">
        <v>15.46</v>
      </c>
      <c r="DF46" s="28">
        <v>501.54</v>
      </c>
      <c r="DG46" s="28">
        <v>2011.76</v>
      </c>
    </row>
    <row r="47" spans="2:111" s="31" customFormat="1" ht="14.5" x14ac:dyDescent="0.35">
      <c r="B47" s="20">
        <v>47</v>
      </c>
      <c r="C47" s="20" t="s">
        <v>187</v>
      </c>
      <c r="D47" s="20" t="s">
        <v>109</v>
      </c>
      <c r="E47" s="20" t="s">
        <v>222</v>
      </c>
      <c r="F47" s="20" t="s">
        <v>468</v>
      </c>
      <c r="G47" s="20" t="s">
        <v>429</v>
      </c>
      <c r="H47" s="20" t="s">
        <v>469</v>
      </c>
      <c r="I47" s="20" t="s">
        <v>58</v>
      </c>
      <c r="J47" s="20" t="s">
        <v>222</v>
      </c>
      <c r="K47" s="20" t="s">
        <v>59</v>
      </c>
      <c r="L47" s="21">
        <v>30028</v>
      </c>
      <c r="M47" s="20" t="s">
        <v>419</v>
      </c>
      <c r="N47" s="20" t="s">
        <v>327</v>
      </c>
      <c r="O47" s="20" t="s">
        <v>67</v>
      </c>
      <c r="P47" s="20" t="s">
        <v>83</v>
      </c>
      <c r="Q47" s="20" t="s">
        <v>84</v>
      </c>
      <c r="R47" s="20" t="s">
        <v>779</v>
      </c>
      <c r="S47" s="20" t="s">
        <v>780</v>
      </c>
      <c r="T47" s="20" t="s">
        <v>137</v>
      </c>
      <c r="U47" s="20" t="s">
        <v>64</v>
      </c>
      <c r="V47" s="20" t="s">
        <v>812</v>
      </c>
      <c r="W47" s="20" t="s">
        <v>893</v>
      </c>
      <c r="X47" s="20" t="s">
        <v>929</v>
      </c>
      <c r="Y47" s="20" t="s">
        <v>137</v>
      </c>
      <c r="Z47" s="20" t="s">
        <v>1529</v>
      </c>
      <c r="AA47" s="20" t="s">
        <v>1576</v>
      </c>
      <c r="AB47" s="21">
        <v>44236</v>
      </c>
      <c r="AC47" s="20"/>
      <c r="AD47" s="20"/>
      <c r="AE47" s="27">
        <v>30</v>
      </c>
      <c r="AF47" s="20"/>
      <c r="AG47" s="20"/>
      <c r="AH47" s="20"/>
      <c r="AI47" s="20"/>
      <c r="AJ47" s="20"/>
      <c r="AK47" s="20"/>
      <c r="AL47" s="20">
        <v>2</v>
      </c>
      <c r="AM47" s="20">
        <v>4</v>
      </c>
      <c r="AN47" s="20"/>
      <c r="AO47" s="20"/>
      <c r="AP47" s="20"/>
      <c r="AQ47" s="20">
        <v>50</v>
      </c>
      <c r="AR47" s="20">
        <v>72</v>
      </c>
      <c r="AS47" s="29">
        <v>3296</v>
      </c>
      <c r="AT47" s="63">
        <v>150</v>
      </c>
      <c r="AU47" s="27">
        <v>3296</v>
      </c>
      <c r="AV47" s="20">
        <v>150</v>
      </c>
      <c r="AW47" s="20">
        <v>35.9</v>
      </c>
      <c r="AX47" s="20">
        <v>77.540000000000006</v>
      </c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7">
        <v>362.5</v>
      </c>
      <c r="BP47" s="20"/>
      <c r="BQ47" s="20"/>
      <c r="BR47" s="20"/>
      <c r="BS47" s="27">
        <v>96.07</v>
      </c>
      <c r="BT47" s="20"/>
      <c r="BU47" s="20"/>
      <c r="BV47" s="20">
        <v>543.84</v>
      </c>
      <c r="BW47" s="20">
        <v>103</v>
      </c>
      <c r="BX47" s="20"/>
      <c r="BY47" s="28">
        <v>4664.8500000000004</v>
      </c>
      <c r="BZ47" s="20"/>
      <c r="CA47" s="20">
        <v>1318.4</v>
      </c>
      <c r="CB47" s="20"/>
      <c r="CC47" s="27">
        <v>316.13</v>
      </c>
      <c r="CD47" s="20"/>
      <c r="CE47" s="27">
        <v>456.88</v>
      </c>
      <c r="CF47" s="20">
        <v>77.209999999999994</v>
      </c>
      <c r="CG47" s="27">
        <v>62.59</v>
      </c>
      <c r="CH47" s="20"/>
      <c r="CI47" s="20"/>
      <c r="CJ47" s="20"/>
      <c r="CK47" s="20"/>
      <c r="CL47" s="20"/>
      <c r="CM47" s="27">
        <v>362.5</v>
      </c>
      <c r="CN47" s="20"/>
      <c r="CO47" s="20"/>
      <c r="CP47" s="20"/>
      <c r="CQ47" s="20"/>
      <c r="CR47" s="27">
        <v>96.07</v>
      </c>
      <c r="CS47" s="20"/>
      <c r="CT47" s="20"/>
      <c r="CU47" s="20"/>
      <c r="CV47" s="20"/>
      <c r="CW47" s="20"/>
      <c r="CX47" s="20"/>
      <c r="CY47" s="28">
        <v>2689.78</v>
      </c>
      <c r="CZ47" s="27">
        <v>308.39</v>
      </c>
      <c r="DA47" s="27">
        <v>102.8</v>
      </c>
      <c r="DB47" s="27">
        <v>15.99</v>
      </c>
      <c r="DC47" s="27">
        <v>26.96</v>
      </c>
      <c r="DD47" s="20">
        <v>34.270000000000003</v>
      </c>
      <c r="DE47" s="27">
        <v>15.53</v>
      </c>
      <c r="DF47" s="28">
        <v>503.94</v>
      </c>
      <c r="DG47" s="28">
        <v>1975.07</v>
      </c>
    </row>
    <row r="48" spans="2:111" s="31" customFormat="1" ht="14.5" x14ac:dyDescent="0.35">
      <c r="B48" s="20">
        <v>42</v>
      </c>
      <c r="C48" s="20" t="s">
        <v>187</v>
      </c>
      <c r="D48" s="20" t="s">
        <v>105</v>
      </c>
      <c r="E48" s="20" t="s">
        <v>218</v>
      </c>
      <c r="F48" s="20" t="s">
        <v>456</v>
      </c>
      <c r="G48" s="20" t="s">
        <v>86</v>
      </c>
      <c r="H48" s="20" t="s">
        <v>457</v>
      </c>
      <c r="I48" s="20" t="s">
        <v>58</v>
      </c>
      <c r="J48" s="20" t="s">
        <v>218</v>
      </c>
      <c r="K48" s="20" t="s">
        <v>59</v>
      </c>
      <c r="L48" s="21">
        <v>34007</v>
      </c>
      <c r="M48" s="20" t="s">
        <v>1101</v>
      </c>
      <c r="N48" s="20" t="s">
        <v>129</v>
      </c>
      <c r="O48" s="20" t="s">
        <v>70</v>
      </c>
      <c r="P48" s="20" t="s">
        <v>113</v>
      </c>
      <c r="Q48" s="20" t="s">
        <v>114</v>
      </c>
      <c r="R48" s="20" t="s">
        <v>783</v>
      </c>
      <c r="S48" s="20" t="s">
        <v>106</v>
      </c>
      <c r="T48" s="20" t="s">
        <v>63</v>
      </c>
      <c r="U48" s="20" t="s">
        <v>64</v>
      </c>
      <c r="V48" s="20" t="s">
        <v>1155</v>
      </c>
      <c r="W48" s="20" t="s">
        <v>896</v>
      </c>
      <c r="X48" s="20" t="s">
        <v>925</v>
      </c>
      <c r="Y48" s="20" t="s">
        <v>63</v>
      </c>
      <c r="Z48" s="20" t="s">
        <v>1529</v>
      </c>
      <c r="AA48" s="20" t="s">
        <v>1571</v>
      </c>
      <c r="AB48" s="21">
        <v>45017</v>
      </c>
      <c r="AC48" s="20"/>
      <c r="AD48" s="20"/>
      <c r="AE48" s="27">
        <v>30</v>
      </c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 t="s">
        <v>1784</v>
      </c>
      <c r="AR48" s="20" t="s">
        <v>1784</v>
      </c>
      <c r="AS48" s="29">
        <v>4950</v>
      </c>
      <c r="AT48" s="63"/>
      <c r="AU48" s="27">
        <v>4950</v>
      </c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7">
        <v>146</v>
      </c>
      <c r="BP48" s="20"/>
      <c r="BQ48" s="20"/>
      <c r="BR48" s="20"/>
      <c r="BS48" s="27">
        <v>96.06</v>
      </c>
      <c r="BT48" s="20"/>
      <c r="BU48" s="20"/>
      <c r="BV48" s="20"/>
      <c r="BW48" s="20"/>
      <c r="BX48" s="20"/>
      <c r="BY48" s="28">
        <v>5192.0600000000004</v>
      </c>
      <c r="BZ48" s="20"/>
      <c r="CA48" s="20"/>
      <c r="CB48" s="20"/>
      <c r="CC48" s="27">
        <v>284.75</v>
      </c>
      <c r="CD48" s="20"/>
      <c r="CE48" s="27">
        <v>509.6</v>
      </c>
      <c r="CF48" s="20"/>
      <c r="CG48" s="27">
        <v>69.819999999999993</v>
      </c>
      <c r="CH48" s="20"/>
      <c r="CI48" s="20"/>
      <c r="CJ48" s="20"/>
      <c r="CK48" s="20"/>
      <c r="CL48" s="20"/>
      <c r="CM48" s="27">
        <v>146</v>
      </c>
      <c r="CN48" s="20"/>
      <c r="CO48" s="20"/>
      <c r="CP48" s="20"/>
      <c r="CQ48" s="20"/>
      <c r="CR48" s="27">
        <v>96.06</v>
      </c>
      <c r="CS48" s="20"/>
      <c r="CT48" s="20"/>
      <c r="CU48" s="20"/>
      <c r="CV48" s="20"/>
      <c r="CW48" s="20"/>
      <c r="CX48" s="20"/>
      <c r="CY48" s="28">
        <v>1106.23</v>
      </c>
      <c r="CZ48" s="27">
        <v>343.98</v>
      </c>
      <c r="DA48" s="27">
        <v>114.66</v>
      </c>
      <c r="DB48" s="27">
        <v>17.84</v>
      </c>
      <c r="DC48" s="27">
        <v>30.07</v>
      </c>
      <c r="DD48" s="20"/>
      <c r="DE48" s="27">
        <v>17.329999999999998</v>
      </c>
      <c r="DF48" s="28">
        <v>523.88</v>
      </c>
      <c r="DG48" s="28">
        <v>4085.83</v>
      </c>
    </row>
    <row r="49" spans="2:111" s="31" customFormat="1" ht="14.5" x14ac:dyDescent="0.35">
      <c r="B49" s="20">
        <v>133</v>
      </c>
      <c r="C49" s="20" t="s">
        <v>187</v>
      </c>
      <c r="D49" s="20" t="s">
        <v>105</v>
      </c>
      <c r="E49" s="20" t="s">
        <v>275</v>
      </c>
      <c r="F49" s="20" t="s">
        <v>656</v>
      </c>
      <c r="G49" s="20" t="s">
        <v>615</v>
      </c>
      <c r="H49" s="20" t="s">
        <v>657</v>
      </c>
      <c r="I49" s="20" t="s">
        <v>58</v>
      </c>
      <c r="J49" s="20" t="s">
        <v>275</v>
      </c>
      <c r="K49" s="20" t="s">
        <v>59</v>
      </c>
      <c r="L49" s="21">
        <v>29639</v>
      </c>
      <c r="M49" s="20" t="s">
        <v>320</v>
      </c>
      <c r="N49" s="20" t="s">
        <v>129</v>
      </c>
      <c r="O49" s="20" t="s">
        <v>60</v>
      </c>
      <c r="P49" s="20" t="s">
        <v>321</v>
      </c>
      <c r="Q49" s="20" t="s">
        <v>322</v>
      </c>
      <c r="R49" s="20" t="s">
        <v>779</v>
      </c>
      <c r="S49" s="20" t="s">
        <v>780</v>
      </c>
      <c r="T49" s="20" t="s">
        <v>63</v>
      </c>
      <c r="U49" s="20" t="s">
        <v>64</v>
      </c>
      <c r="V49" s="20" t="s">
        <v>856</v>
      </c>
      <c r="W49" s="20" t="s">
        <v>891</v>
      </c>
      <c r="X49" s="20" t="s">
        <v>980</v>
      </c>
      <c r="Y49" s="20" t="s">
        <v>63</v>
      </c>
      <c r="Z49" s="20" t="s">
        <v>1529</v>
      </c>
      <c r="AA49" s="20" t="s">
        <v>1646</v>
      </c>
      <c r="AB49" s="21">
        <v>44256</v>
      </c>
      <c r="AC49" s="20"/>
      <c r="AD49" s="20"/>
      <c r="AE49" s="27">
        <v>30</v>
      </c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>
        <v>1</v>
      </c>
      <c r="AQ49" s="20" t="s">
        <v>1784</v>
      </c>
      <c r="AR49" s="20" t="s">
        <v>1784</v>
      </c>
      <c r="AS49" s="29">
        <v>2018.8</v>
      </c>
      <c r="AT49" s="63">
        <v>113</v>
      </c>
      <c r="AU49" s="27">
        <v>2018.8</v>
      </c>
      <c r="AV49" s="20">
        <v>113</v>
      </c>
      <c r="AW49" s="20"/>
      <c r="AX49" s="20"/>
      <c r="AY49" s="20"/>
      <c r="AZ49" s="20"/>
      <c r="BA49" s="20"/>
      <c r="BB49" s="20"/>
      <c r="BC49" s="20"/>
      <c r="BD49" s="20"/>
      <c r="BE49" s="20">
        <v>390</v>
      </c>
      <c r="BF49" s="20"/>
      <c r="BG49" s="20">
        <v>520</v>
      </c>
      <c r="BH49" s="20"/>
      <c r="BI49" s="20"/>
      <c r="BJ49" s="20"/>
      <c r="BK49" s="20"/>
      <c r="BL49" s="20"/>
      <c r="BM49" s="20"/>
      <c r="BN49" s="20">
        <v>142.12</v>
      </c>
      <c r="BO49" s="27"/>
      <c r="BP49" s="20"/>
      <c r="BQ49" s="20"/>
      <c r="BR49" s="20"/>
      <c r="BS49" s="27">
        <v>96.06</v>
      </c>
      <c r="BT49" s="20"/>
      <c r="BU49" s="20">
        <v>685.24</v>
      </c>
      <c r="BV49" s="20"/>
      <c r="BW49" s="20"/>
      <c r="BX49" s="20"/>
      <c r="BY49" s="28">
        <v>3965.22</v>
      </c>
      <c r="BZ49" s="20"/>
      <c r="CA49" s="20"/>
      <c r="CB49" s="20"/>
      <c r="CC49" s="27">
        <v>77.89</v>
      </c>
      <c r="CD49" s="20"/>
      <c r="CE49" s="27">
        <v>334.92</v>
      </c>
      <c r="CF49" s="20">
        <v>51.91</v>
      </c>
      <c r="CG49" s="27">
        <v>45.88</v>
      </c>
      <c r="CH49" s="20"/>
      <c r="CI49" s="20"/>
      <c r="CJ49" s="20"/>
      <c r="CK49" s="20"/>
      <c r="CL49" s="20">
        <v>326</v>
      </c>
      <c r="CM49" s="27"/>
      <c r="CN49" s="20"/>
      <c r="CO49" s="20"/>
      <c r="CP49" s="20"/>
      <c r="CQ49" s="20"/>
      <c r="CR49" s="27">
        <v>96.06</v>
      </c>
      <c r="CS49" s="20"/>
      <c r="CT49" s="20"/>
      <c r="CU49" s="20"/>
      <c r="CV49" s="20"/>
      <c r="CW49" s="20"/>
      <c r="CX49" s="20"/>
      <c r="CY49" s="28">
        <v>932.66</v>
      </c>
      <c r="CZ49" s="27">
        <v>226.07</v>
      </c>
      <c r="DA49" s="27">
        <v>75.36</v>
      </c>
      <c r="DB49" s="27">
        <v>11.72</v>
      </c>
      <c r="DC49" s="27">
        <v>19.760000000000002</v>
      </c>
      <c r="DD49" s="20"/>
      <c r="DE49" s="27">
        <v>11.39</v>
      </c>
      <c r="DF49" s="28">
        <v>344.3</v>
      </c>
      <c r="DG49" s="28">
        <v>3032.56</v>
      </c>
    </row>
    <row r="50" spans="2:111" s="31" customFormat="1" ht="14.5" x14ac:dyDescent="0.35">
      <c r="B50" s="20">
        <v>59</v>
      </c>
      <c r="C50" s="20" t="s">
        <v>187</v>
      </c>
      <c r="D50" s="20" t="s">
        <v>109</v>
      </c>
      <c r="E50" s="20" t="s">
        <v>175</v>
      </c>
      <c r="F50" s="20" t="s">
        <v>119</v>
      </c>
      <c r="G50" s="20" t="s">
        <v>176</v>
      </c>
      <c r="H50" s="20" t="s">
        <v>177</v>
      </c>
      <c r="I50" s="20" t="s">
        <v>58</v>
      </c>
      <c r="J50" s="20" t="s">
        <v>175</v>
      </c>
      <c r="K50" s="20" t="s">
        <v>59</v>
      </c>
      <c r="L50" s="21">
        <v>37889</v>
      </c>
      <c r="M50" s="20" t="s">
        <v>419</v>
      </c>
      <c r="N50" s="20" t="s">
        <v>327</v>
      </c>
      <c r="O50" s="20" t="s">
        <v>67</v>
      </c>
      <c r="P50" s="20" t="s">
        <v>1051</v>
      </c>
      <c r="Q50" s="20" t="s">
        <v>1052</v>
      </c>
      <c r="R50" s="20" t="s">
        <v>783</v>
      </c>
      <c r="S50" s="20" t="s">
        <v>780</v>
      </c>
      <c r="T50" s="20" t="s">
        <v>63</v>
      </c>
      <c r="U50" s="20" t="s">
        <v>64</v>
      </c>
      <c r="V50" s="20" t="s">
        <v>1263</v>
      </c>
      <c r="W50" s="20" t="s">
        <v>891</v>
      </c>
      <c r="X50" s="20" t="s">
        <v>1322</v>
      </c>
      <c r="Y50" s="20"/>
      <c r="Z50" s="20"/>
      <c r="AA50" s="20"/>
      <c r="AB50" s="21">
        <v>45782</v>
      </c>
      <c r="AC50" s="20"/>
      <c r="AD50" s="20"/>
      <c r="AE50" s="27">
        <v>29</v>
      </c>
      <c r="AF50" s="20"/>
      <c r="AG50" s="20"/>
      <c r="AH50" s="20"/>
      <c r="AI50" s="20"/>
      <c r="AJ50" s="20">
        <v>1</v>
      </c>
      <c r="AK50" s="20"/>
      <c r="AL50" s="20"/>
      <c r="AM50" s="20"/>
      <c r="AN50" s="20"/>
      <c r="AO50" s="20"/>
      <c r="AP50" s="20"/>
      <c r="AQ50" s="20">
        <v>14</v>
      </c>
      <c r="AR50" s="20">
        <v>8</v>
      </c>
      <c r="AS50" s="29">
        <v>2100</v>
      </c>
      <c r="AT50" s="63"/>
      <c r="AU50" s="27">
        <v>2030</v>
      </c>
      <c r="AV50" s="20"/>
      <c r="AW50" s="20"/>
      <c r="AX50" s="20"/>
      <c r="AY50" s="20"/>
      <c r="AZ50" s="20"/>
      <c r="BA50" s="20"/>
      <c r="BB50" s="20">
        <v>70</v>
      </c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7">
        <v>377.3</v>
      </c>
      <c r="BP50" s="20"/>
      <c r="BQ50" s="20"/>
      <c r="BR50" s="20"/>
      <c r="BS50" s="27">
        <v>96.07</v>
      </c>
      <c r="BT50" s="20">
        <v>100</v>
      </c>
      <c r="BU50" s="20"/>
      <c r="BV50" s="20">
        <v>38.5</v>
      </c>
      <c r="BW50" s="20">
        <v>18.38</v>
      </c>
      <c r="BX50" s="20"/>
      <c r="BY50" s="28">
        <v>2730.25</v>
      </c>
      <c r="BZ50" s="20"/>
      <c r="CA50" s="20">
        <v>840</v>
      </c>
      <c r="CB50" s="20"/>
      <c r="CC50" s="27"/>
      <c r="CD50" s="20"/>
      <c r="CE50" s="27">
        <v>253.42</v>
      </c>
      <c r="CF50" s="20"/>
      <c r="CG50" s="27">
        <v>34.72</v>
      </c>
      <c r="CH50" s="20"/>
      <c r="CI50" s="20"/>
      <c r="CJ50" s="20"/>
      <c r="CK50" s="20"/>
      <c r="CL50" s="20"/>
      <c r="CM50" s="27">
        <v>377.3</v>
      </c>
      <c r="CN50" s="20"/>
      <c r="CO50" s="20"/>
      <c r="CP50" s="20"/>
      <c r="CQ50" s="20"/>
      <c r="CR50" s="27">
        <v>96.07</v>
      </c>
      <c r="CS50" s="20"/>
      <c r="CT50" s="20"/>
      <c r="CU50" s="20"/>
      <c r="CV50" s="20">
        <v>100</v>
      </c>
      <c r="CW50" s="20"/>
      <c r="CX50" s="20"/>
      <c r="CY50" s="28">
        <v>1701.51</v>
      </c>
      <c r="CZ50" s="27">
        <v>171.06</v>
      </c>
      <c r="DA50" s="27">
        <v>57.02</v>
      </c>
      <c r="DB50" s="27">
        <v>8.8699999999999992</v>
      </c>
      <c r="DC50" s="27">
        <v>14.95</v>
      </c>
      <c r="DD50" s="20">
        <v>19.010000000000002</v>
      </c>
      <c r="DE50" s="27">
        <v>8.6199999999999992</v>
      </c>
      <c r="DF50" s="28">
        <v>279.52999999999997</v>
      </c>
      <c r="DG50" s="28">
        <v>1028.74</v>
      </c>
    </row>
    <row r="51" spans="2:111" s="31" customFormat="1" ht="14.5" x14ac:dyDescent="0.35">
      <c r="B51" s="20">
        <v>143</v>
      </c>
      <c r="C51" s="20" t="s">
        <v>187</v>
      </c>
      <c r="D51" s="20" t="s">
        <v>105</v>
      </c>
      <c r="E51" s="20" t="s">
        <v>281</v>
      </c>
      <c r="F51" s="20" t="s">
        <v>118</v>
      </c>
      <c r="G51" s="20" t="s">
        <v>324</v>
      </c>
      <c r="H51" s="20" t="s">
        <v>672</v>
      </c>
      <c r="I51" s="20" t="s">
        <v>58</v>
      </c>
      <c r="J51" s="20" t="s">
        <v>281</v>
      </c>
      <c r="K51" s="20" t="s">
        <v>59</v>
      </c>
      <c r="L51" s="21">
        <v>33863</v>
      </c>
      <c r="M51" s="20" t="s">
        <v>320</v>
      </c>
      <c r="N51" s="20" t="s">
        <v>132</v>
      </c>
      <c r="O51" s="20" t="s">
        <v>60</v>
      </c>
      <c r="P51" s="20" t="s">
        <v>321</v>
      </c>
      <c r="Q51" s="20" t="s">
        <v>322</v>
      </c>
      <c r="R51" s="20" t="s">
        <v>783</v>
      </c>
      <c r="S51" s="20" t="s">
        <v>787</v>
      </c>
      <c r="T51" s="20" t="s">
        <v>65</v>
      </c>
      <c r="U51" s="20" t="s">
        <v>73</v>
      </c>
      <c r="V51" s="20" t="s">
        <v>860</v>
      </c>
      <c r="W51" s="20" t="s">
        <v>891</v>
      </c>
      <c r="X51" s="20" t="s">
        <v>987</v>
      </c>
      <c r="Y51" s="20" t="s">
        <v>65</v>
      </c>
      <c r="Z51" s="20" t="s">
        <v>1529</v>
      </c>
      <c r="AA51" s="20" t="s">
        <v>1654</v>
      </c>
      <c r="AB51" s="21">
        <v>45337</v>
      </c>
      <c r="AC51" s="20"/>
      <c r="AD51" s="20"/>
      <c r="AE51" s="27"/>
      <c r="AF51" s="20"/>
      <c r="AG51" s="20">
        <v>30</v>
      </c>
      <c r="AH51" s="20"/>
      <c r="AI51" s="20"/>
      <c r="AJ51" s="20"/>
      <c r="AK51" s="20"/>
      <c r="AL51" s="20"/>
      <c r="AM51" s="20"/>
      <c r="AN51" s="20"/>
      <c r="AO51" s="20"/>
      <c r="AP51" s="20"/>
      <c r="AQ51" s="20" t="s">
        <v>1784</v>
      </c>
      <c r="AR51" s="20" t="s">
        <v>1784</v>
      </c>
      <c r="AS51" s="29">
        <v>1514.1</v>
      </c>
      <c r="AT51" s="63"/>
      <c r="AU51" s="27"/>
      <c r="AV51" s="20"/>
      <c r="AW51" s="20"/>
      <c r="AX51" s="20"/>
      <c r="AY51" s="20"/>
      <c r="AZ51" s="20">
        <v>2262.1</v>
      </c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7"/>
      <c r="BP51" s="20"/>
      <c r="BQ51" s="20"/>
      <c r="BR51" s="20"/>
      <c r="BS51" s="27">
        <v>48.03</v>
      </c>
      <c r="BT51" s="20">
        <v>100</v>
      </c>
      <c r="BU51" s="20"/>
      <c r="BV51" s="20"/>
      <c r="BW51" s="20"/>
      <c r="BX51" s="20"/>
      <c r="BY51" s="28">
        <v>2410.13</v>
      </c>
      <c r="BZ51" s="20"/>
      <c r="CA51" s="20"/>
      <c r="CB51" s="20"/>
      <c r="CC51" s="27"/>
      <c r="CD51" s="20"/>
      <c r="CE51" s="27">
        <v>226.21</v>
      </c>
      <c r="CF51" s="20"/>
      <c r="CG51" s="27">
        <v>30.99</v>
      </c>
      <c r="CH51" s="20"/>
      <c r="CI51" s="20"/>
      <c r="CJ51" s="20"/>
      <c r="CK51" s="20"/>
      <c r="CL51" s="20"/>
      <c r="CM51" s="27"/>
      <c r="CN51" s="20"/>
      <c r="CO51" s="20"/>
      <c r="CP51" s="20"/>
      <c r="CQ51" s="20"/>
      <c r="CR51" s="27">
        <v>48.03</v>
      </c>
      <c r="CS51" s="20"/>
      <c r="CT51" s="20"/>
      <c r="CU51" s="20"/>
      <c r="CV51" s="20">
        <v>100</v>
      </c>
      <c r="CW51" s="20"/>
      <c r="CX51" s="20"/>
      <c r="CY51" s="28">
        <v>405.23</v>
      </c>
      <c r="CZ51" s="27">
        <v>152.69</v>
      </c>
      <c r="DA51" s="27">
        <v>50.9</v>
      </c>
      <c r="DB51" s="27">
        <v>7.92</v>
      </c>
      <c r="DC51" s="27">
        <v>13.35</v>
      </c>
      <c r="DD51" s="20"/>
      <c r="DE51" s="27">
        <v>7.69</v>
      </c>
      <c r="DF51" s="28">
        <v>232.55</v>
      </c>
      <c r="DG51" s="28">
        <v>2004.9</v>
      </c>
    </row>
    <row r="52" spans="2:111" s="31" customFormat="1" ht="14.5" x14ac:dyDescent="0.35">
      <c r="B52" s="20">
        <v>64</v>
      </c>
      <c r="C52" s="20" t="s">
        <v>187</v>
      </c>
      <c r="D52" s="20" t="s">
        <v>109</v>
      </c>
      <c r="E52" s="20" t="s">
        <v>1062</v>
      </c>
      <c r="F52" s="20" t="s">
        <v>508</v>
      </c>
      <c r="G52" s="20" t="s">
        <v>119</v>
      </c>
      <c r="H52" s="20" t="s">
        <v>1063</v>
      </c>
      <c r="I52" s="20" t="s">
        <v>58</v>
      </c>
      <c r="J52" s="20" t="s">
        <v>1062</v>
      </c>
      <c r="K52" s="20" t="s">
        <v>59</v>
      </c>
      <c r="L52" s="21">
        <v>30366</v>
      </c>
      <c r="M52" s="20" t="s">
        <v>419</v>
      </c>
      <c r="N52" s="20" t="s">
        <v>327</v>
      </c>
      <c r="O52" s="20" t="s">
        <v>67</v>
      </c>
      <c r="P52" s="20" t="s">
        <v>1051</v>
      </c>
      <c r="Q52" s="20" t="s">
        <v>1052</v>
      </c>
      <c r="R52" s="20" t="s">
        <v>783</v>
      </c>
      <c r="S52" s="20" t="s">
        <v>780</v>
      </c>
      <c r="T52" s="20" t="s">
        <v>63</v>
      </c>
      <c r="U52" s="20" t="s">
        <v>64</v>
      </c>
      <c r="V52" s="20" t="s">
        <v>1064</v>
      </c>
      <c r="W52" s="20" t="s">
        <v>891</v>
      </c>
      <c r="X52" s="20" t="s">
        <v>1065</v>
      </c>
      <c r="Y52" s="20" t="s">
        <v>65</v>
      </c>
      <c r="Z52" s="20" t="s">
        <v>1529</v>
      </c>
      <c r="AA52" s="20" t="s">
        <v>1591</v>
      </c>
      <c r="AB52" s="21">
        <v>45670</v>
      </c>
      <c r="AC52" s="20"/>
      <c r="AD52" s="20"/>
      <c r="AE52" s="27">
        <v>30</v>
      </c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>
        <v>24</v>
      </c>
      <c r="AR52" s="20">
        <v>32</v>
      </c>
      <c r="AS52" s="29">
        <v>2100</v>
      </c>
      <c r="AT52" s="63">
        <v>113</v>
      </c>
      <c r="AU52" s="27">
        <v>2100</v>
      </c>
      <c r="AV52" s="20">
        <v>113</v>
      </c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7">
        <v>416.3</v>
      </c>
      <c r="BP52" s="20"/>
      <c r="BQ52" s="20"/>
      <c r="BR52" s="20"/>
      <c r="BS52" s="27">
        <v>96.07</v>
      </c>
      <c r="BT52" s="20"/>
      <c r="BU52" s="20"/>
      <c r="BV52" s="20">
        <v>154</v>
      </c>
      <c r="BW52" s="20">
        <v>31.5</v>
      </c>
      <c r="BX52" s="20"/>
      <c r="BY52" s="28">
        <v>2910.87</v>
      </c>
      <c r="BZ52" s="20"/>
      <c r="CA52" s="20">
        <v>840</v>
      </c>
      <c r="CB52" s="20"/>
      <c r="CC52" s="27">
        <v>11.38</v>
      </c>
      <c r="CD52" s="20"/>
      <c r="CE52" s="27">
        <v>281.48</v>
      </c>
      <c r="CF52" s="20">
        <v>43.63</v>
      </c>
      <c r="CG52" s="27">
        <v>38.56</v>
      </c>
      <c r="CH52" s="20"/>
      <c r="CI52" s="20"/>
      <c r="CJ52" s="20"/>
      <c r="CK52" s="20"/>
      <c r="CL52" s="20"/>
      <c r="CM52" s="27">
        <v>416.3</v>
      </c>
      <c r="CN52" s="20"/>
      <c r="CO52" s="20"/>
      <c r="CP52" s="20"/>
      <c r="CQ52" s="20"/>
      <c r="CR52" s="27">
        <v>96.07</v>
      </c>
      <c r="CS52" s="20">
        <v>9.8000000000000007</v>
      </c>
      <c r="CT52" s="20"/>
      <c r="CU52" s="20"/>
      <c r="CV52" s="20"/>
      <c r="CW52" s="20"/>
      <c r="CX52" s="20"/>
      <c r="CY52" s="28">
        <v>1737.22</v>
      </c>
      <c r="CZ52" s="27">
        <v>253.33</v>
      </c>
      <c r="DA52" s="27"/>
      <c r="DB52" s="27">
        <v>9.85</v>
      </c>
      <c r="DC52" s="27">
        <v>16.61</v>
      </c>
      <c r="DD52" s="20">
        <v>21.11</v>
      </c>
      <c r="DE52" s="27">
        <v>9.57</v>
      </c>
      <c r="DF52" s="28">
        <v>310.47000000000003</v>
      </c>
      <c r="DG52" s="28">
        <v>1173.6500000000001</v>
      </c>
    </row>
    <row r="53" spans="2:111" s="31" customFormat="1" ht="14.5" x14ac:dyDescent="0.35">
      <c r="B53" s="20">
        <v>78</v>
      </c>
      <c r="C53" s="20" t="s">
        <v>187</v>
      </c>
      <c r="D53" s="20" t="s">
        <v>109</v>
      </c>
      <c r="E53" s="20" t="s">
        <v>1067</v>
      </c>
      <c r="F53" s="20" t="s">
        <v>542</v>
      </c>
      <c r="G53" s="20" t="s">
        <v>499</v>
      </c>
      <c r="H53" s="20" t="s">
        <v>1068</v>
      </c>
      <c r="I53" s="20" t="s">
        <v>58</v>
      </c>
      <c r="J53" s="20" t="s">
        <v>1067</v>
      </c>
      <c r="K53" s="20" t="s">
        <v>59</v>
      </c>
      <c r="L53" s="21">
        <v>34660</v>
      </c>
      <c r="M53" s="20" t="s">
        <v>419</v>
      </c>
      <c r="N53" s="20" t="s">
        <v>327</v>
      </c>
      <c r="O53" s="20" t="s">
        <v>67</v>
      </c>
      <c r="P53" s="20" t="s">
        <v>1051</v>
      </c>
      <c r="Q53" s="20" t="s">
        <v>1052</v>
      </c>
      <c r="R53" s="20" t="s">
        <v>1066</v>
      </c>
      <c r="S53" s="20" t="s">
        <v>780</v>
      </c>
      <c r="T53" s="20" t="s">
        <v>65</v>
      </c>
      <c r="U53" s="20" t="s">
        <v>73</v>
      </c>
      <c r="V53" s="20" t="s">
        <v>1339</v>
      </c>
      <c r="W53" s="20" t="s">
        <v>891</v>
      </c>
      <c r="X53" s="20" t="s">
        <v>1069</v>
      </c>
      <c r="Y53" s="20" t="s">
        <v>65</v>
      </c>
      <c r="Z53" s="20" t="s">
        <v>1529</v>
      </c>
      <c r="AA53" s="20" t="s">
        <v>1602</v>
      </c>
      <c r="AB53" s="21">
        <v>45677</v>
      </c>
      <c r="AC53" s="20"/>
      <c r="AD53" s="20"/>
      <c r="AE53" s="27">
        <v>29</v>
      </c>
      <c r="AF53" s="20"/>
      <c r="AG53" s="20"/>
      <c r="AH53" s="20"/>
      <c r="AI53" s="20"/>
      <c r="AJ53" s="20"/>
      <c r="AK53" s="20">
        <v>1</v>
      </c>
      <c r="AL53" s="20">
        <v>4</v>
      </c>
      <c r="AM53" s="20"/>
      <c r="AN53" s="20"/>
      <c r="AO53" s="20"/>
      <c r="AP53" s="20"/>
      <c r="AQ53" s="20">
        <v>54</v>
      </c>
      <c r="AR53" s="20">
        <v>40</v>
      </c>
      <c r="AS53" s="29">
        <v>2100</v>
      </c>
      <c r="AT53" s="63">
        <v>113</v>
      </c>
      <c r="AU53" s="27">
        <v>2030</v>
      </c>
      <c r="AV53" s="20">
        <v>113</v>
      </c>
      <c r="AW53" s="20">
        <v>46.11</v>
      </c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7">
        <v>393.4</v>
      </c>
      <c r="BP53" s="20"/>
      <c r="BQ53" s="20"/>
      <c r="BR53" s="20"/>
      <c r="BS53" s="27">
        <v>96.07</v>
      </c>
      <c r="BT53" s="20"/>
      <c r="BU53" s="20"/>
      <c r="BV53" s="20">
        <v>192.5</v>
      </c>
      <c r="BW53" s="20">
        <v>70.88</v>
      </c>
      <c r="BX53" s="20"/>
      <c r="BY53" s="28">
        <v>2941.96</v>
      </c>
      <c r="BZ53" s="20"/>
      <c r="CA53" s="20">
        <v>840</v>
      </c>
      <c r="CB53" s="20"/>
      <c r="CC53" s="27"/>
      <c r="CD53" s="20"/>
      <c r="CE53" s="27">
        <v>284.58999999999997</v>
      </c>
      <c r="CF53" s="20"/>
      <c r="CG53" s="27">
        <v>38.99</v>
      </c>
      <c r="CH53" s="20"/>
      <c r="CI53" s="20"/>
      <c r="CJ53" s="20"/>
      <c r="CK53" s="20"/>
      <c r="CL53" s="20"/>
      <c r="CM53" s="27">
        <v>393.4</v>
      </c>
      <c r="CN53" s="20"/>
      <c r="CO53" s="20"/>
      <c r="CP53" s="20"/>
      <c r="CQ53" s="20"/>
      <c r="CR53" s="27">
        <v>96.07</v>
      </c>
      <c r="CS53" s="20"/>
      <c r="CT53" s="20"/>
      <c r="CU53" s="20"/>
      <c r="CV53" s="20"/>
      <c r="CW53" s="20"/>
      <c r="CX53" s="20"/>
      <c r="CY53" s="28">
        <v>1653.05</v>
      </c>
      <c r="CZ53" s="27">
        <v>192.1</v>
      </c>
      <c r="DA53" s="27">
        <v>64.03</v>
      </c>
      <c r="DB53" s="27">
        <v>9.9600000000000009</v>
      </c>
      <c r="DC53" s="27">
        <v>16.79</v>
      </c>
      <c r="DD53" s="20">
        <v>21.34</v>
      </c>
      <c r="DE53" s="27">
        <v>9.68</v>
      </c>
      <c r="DF53" s="28">
        <v>313.89999999999998</v>
      </c>
      <c r="DG53" s="28">
        <v>1288.9100000000001</v>
      </c>
    </row>
    <row r="54" spans="2:111" s="31" customFormat="1" ht="14.5" x14ac:dyDescent="0.35">
      <c r="B54" s="20">
        <v>48</v>
      </c>
      <c r="C54" s="20" t="s">
        <v>187</v>
      </c>
      <c r="D54" s="20" t="s">
        <v>105</v>
      </c>
      <c r="E54" s="20" t="s">
        <v>223</v>
      </c>
      <c r="F54" s="20" t="s">
        <v>471</v>
      </c>
      <c r="G54" s="20" t="s">
        <v>472</v>
      </c>
      <c r="H54" s="20" t="s">
        <v>473</v>
      </c>
      <c r="I54" s="20" t="s">
        <v>58</v>
      </c>
      <c r="J54" s="20" t="s">
        <v>223</v>
      </c>
      <c r="K54" s="20" t="s">
        <v>66</v>
      </c>
      <c r="L54" s="21">
        <v>31094</v>
      </c>
      <c r="M54" s="20" t="s">
        <v>1460</v>
      </c>
      <c r="N54" s="20" t="s">
        <v>129</v>
      </c>
      <c r="O54" s="20" t="s">
        <v>67</v>
      </c>
      <c r="P54" s="20" t="s">
        <v>1060</v>
      </c>
      <c r="Q54" s="20" t="s">
        <v>1061</v>
      </c>
      <c r="R54" s="20" t="s">
        <v>779</v>
      </c>
      <c r="S54" s="20" t="s">
        <v>782</v>
      </c>
      <c r="T54" s="20" t="s">
        <v>65</v>
      </c>
      <c r="U54" s="20" t="s">
        <v>73</v>
      </c>
      <c r="V54" s="20" t="s">
        <v>1332</v>
      </c>
      <c r="W54" s="20" t="s">
        <v>893</v>
      </c>
      <c r="X54" s="20" t="s">
        <v>930</v>
      </c>
      <c r="Y54" s="20" t="s">
        <v>1566</v>
      </c>
      <c r="Z54" s="20" t="s">
        <v>1529</v>
      </c>
      <c r="AA54" s="20" t="s">
        <v>1577</v>
      </c>
      <c r="AB54" s="21">
        <v>45505</v>
      </c>
      <c r="AC54" s="20"/>
      <c r="AD54" s="20"/>
      <c r="AE54" s="27">
        <v>30</v>
      </c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 t="s">
        <v>1784</v>
      </c>
      <c r="AR54" s="20" t="s">
        <v>1784</v>
      </c>
      <c r="AS54" s="29">
        <v>17800</v>
      </c>
      <c r="AT54" s="63">
        <v>113</v>
      </c>
      <c r="AU54" s="27">
        <v>17800</v>
      </c>
      <c r="AV54" s="20">
        <v>113</v>
      </c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7">
        <v>169.8</v>
      </c>
      <c r="BP54" s="20"/>
      <c r="BQ54" s="20"/>
      <c r="BR54" s="20"/>
      <c r="BS54" s="27">
        <v>48.03</v>
      </c>
      <c r="BT54" s="20"/>
      <c r="BU54" s="20"/>
      <c r="BV54" s="20"/>
      <c r="BW54" s="20"/>
      <c r="BX54" s="20"/>
      <c r="BY54" s="28">
        <v>18130.830000000002</v>
      </c>
      <c r="BZ54" s="20"/>
      <c r="CA54" s="20"/>
      <c r="CB54" s="20"/>
      <c r="CC54" s="27">
        <v>2822.55</v>
      </c>
      <c r="CD54" s="20"/>
      <c r="CE54" s="27">
        <v>1808.28</v>
      </c>
      <c r="CF54" s="20">
        <v>305.60000000000002</v>
      </c>
      <c r="CG54" s="27">
        <v>166.93</v>
      </c>
      <c r="CH54" s="20"/>
      <c r="CI54" s="20"/>
      <c r="CJ54" s="20"/>
      <c r="CK54" s="20"/>
      <c r="CL54" s="20"/>
      <c r="CM54" s="27">
        <v>169.8</v>
      </c>
      <c r="CN54" s="20"/>
      <c r="CO54" s="20"/>
      <c r="CP54" s="20"/>
      <c r="CQ54" s="20"/>
      <c r="CR54" s="27">
        <v>48.03</v>
      </c>
      <c r="CS54" s="20">
        <v>4.9000000000000004</v>
      </c>
      <c r="CT54" s="20"/>
      <c r="CU54" s="20"/>
      <c r="CV54" s="20"/>
      <c r="CW54" s="20"/>
      <c r="CX54" s="20"/>
      <c r="CY54" s="28">
        <v>5326.09</v>
      </c>
      <c r="CZ54" s="27">
        <v>1220.5899999999999</v>
      </c>
      <c r="DA54" s="27">
        <v>406.86</v>
      </c>
      <c r="DB54" s="27">
        <v>42.65</v>
      </c>
      <c r="DC54" s="27">
        <v>106.69</v>
      </c>
      <c r="DD54" s="20"/>
      <c r="DE54" s="27">
        <v>41.43</v>
      </c>
      <c r="DF54" s="28">
        <v>1818.22</v>
      </c>
      <c r="DG54" s="28">
        <v>12804.74</v>
      </c>
    </row>
    <row r="55" spans="2:111" s="31" customFormat="1" ht="14.5" x14ac:dyDescent="0.35">
      <c r="B55" s="20">
        <v>150</v>
      </c>
      <c r="C55" s="20" t="s">
        <v>187</v>
      </c>
      <c r="D55" s="20" t="s">
        <v>105</v>
      </c>
      <c r="E55" s="20" t="s">
        <v>1762</v>
      </c>
      <c r="F55" s="20" t="s">
        <v>1763</v>
      </c>
      <c r="G55" s="20" t="s">
        <v>1325</v>
      </c>
      <c r="H55" s="20" t="s">
        <v>1764</v>
      </c>
      <c r="I55" s="20" t="s">
        <v>470</v>
      </c>
      <c r="J55" s="20" t="s">
        <v>1765</v>
      </c>
      <c r="K55" s="20" t="s">
        <v>66</v>
      </c>
      <c r="L55" s="21">
        <v>38322</v>
      </c>
      <c r="M55" s="20" t="s">
        <v>320</v>
      </c>
      <c r="N55" s="20" t="s">
        <v>129</v>
      </c>
      <c r="O55" s="20" t="s">
        <v>60</v>
      </c>
      <c r="P55" s="20" t="s">
        <v>321</v>
      </c>
      <c r="Q55" s="20" t="s">
        <v>322</v>
      </c>
      <c r="R55" s="20" t="s">
        <v>783</v>
      </c>
      <c r="S55" s="20" t="s">
        <v>106</v>
      </c>
      <c r="T55" s="20" t="s">
        <v>63</v>
      </c>
      <c r="U55" s="20" t="s">
        <v>64</v>
      </c>
      <c r="V55" s="20" t="s">
        <v>1766</v>
      </c>
      <c r="W55" s="20" t="s">
        <v>891</v>
      </c>
      <c r="X55" s="20" t="s">
        <v>1767</v>
      </c>
      <c r="Y55" s="20"/>
      <c r="Z55" s="20"/>
      <c r="AA55" s="20"/>
      <c r="AB55" s="21">
        <v>45922</v>
      </c>
      <c r="AC55" s="20"/>
      <c r="AD55" s="20"/>
      <c r="AE55" s="27">
        <v>9</v>
      </c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 t="s">
        <v>1784</v>
      </c>
      <c r="AR55" s="20" t="s">
        <v>1784</v>
      </c>
      <c r="AS55" s="29">
        <v>1750</v>
      </c>
      <c r="AT55" s="63"/>
      <c r="AU55" s="27">
        <v>525</v>
      </c>
      <c r="AV55" s="20"/>
      <c r="AW55" s="20"/>
      <c r="AX55" s="20"/>
      <c r="AY55" s="20"/>
      <c r="AZ55" s="20"/>
      <c r="BA55" s="20"/>
      <c r="BB55" s="20"/>
      <c r="BC55" s="20"/>
      <c r="BD55" s="20"/>
      <c r="BE55" s="20">
        <v>117</v>
      </c>
      <c r="BF55" s="20"/>
      <c r="BG55" s="20">
        <v>156</v>
      </c>
      <c r="BH55" s="20"/>
      <c r="BI55" s="20"/>
      <c r="BJ55" s="20"/>
      <c r="BK55" s="20"/>
      <c r="BL55" s="20"/>
      <c r="BM55" s="20"/>
      <c r="BN55" s="20"/>
      <c r="BO55" s="27"/>
      <c r="BP55" s="20"/>
      <c r="BQ55" s="20"/>
      <c r="BR55" s="20"/>
      <c r="BS55" s="27"/>
      <c r="BT55" s="20"/>
      <c r="BU55" s="20">
        <v>225</v>
      </c>
      <c r="BV55" s="20"/>
      <c r="BW55" s="20"/>
      <c r="BX55" s="20"/>
      <c r="BY55" s="28">
        <v>1023</v>
      </c>
      <c r="BZ55" s="20"/>
      <c r="CA55" s="20"/>
      <c r="CB55" s="20"/>
      <c r="CC55" s="27"/>
      <c r="CD55" s="20"/>
      <c r="CE55" s="27">
        <v>86.7</v>
      </c>
      <c r="CF55" s="20"/>
      <c r="CG55" s="27">
        <v>11.88</v>
      </c>
      <c r="CH55" s="20"/>
      <c r="CI55" s="20"/>
      <c r="CJ55" s="20"/>
      <c r="CK55" s="20"/>
      <c r="CL55" s="20"/>
      <c r="CM55" s="27"/>
      <c r="CN55" s="20"/>
      <c r="CO55" s="20"/>
      <c r="CP55" s="20"/>
      <c r="CQ55" s="20"/>
      <c r="CR55" s="27"/>
      <c r="CS55" s="20"/>
      <c r="CT55" s="20"/>
      <c r="CU55" s="20"/>
      <c r="CV55" s="20"/>
      <c r="CW55" s="20"/>
      <c r="CX55" s="20"/>
      <c r="CY55" s="28">
        <v>98.58</v>
      </c>
      <c r="CZ55" s="27">
        <v>101.7</v>
      </c>
      <c r="DA55" s="27"/>
      <c r="DB55" s="27">
        <v>3.03</v>
      </c>
      <c r="DC55" s="27">
        <v>5.12</v>
      </c>
      <c r="DD55" s="20"/>
      <c r="DE55" s="27">
        <v>2.95</v>
      </c>
      <c r="DF55" s="28">
        <v>112.8</v>
      </c>
      <c r="DG55" s="28">
        <v>924.42</v>
      </c>
    </row>
    <row r="56" spans="2:111" s="31" customFormat="1" ht="14.5" x14ac:dyDescent="0.35">
      <c r="B56" s="20">
        <v>50</v>
      </c>
      <c r="C56" s="20" t="s">
        <v>187</v>
      </c>
      <c r="D56" s="20" t="s">
        <v>105</v>
      </c>
      <c r="E56" s="20" t="s">
        <v>225</v>
      </c>
      <c r="F56" s="20" t="s">
        <v>479</v>
      </c>
      <c r="G56" s="20" t="s">
        <v>480</v>
      </c>
      <c r="H56" s="20" t="s">
        <v>481</v>
      </c>
      <c r="I56" s="20" t="s">
        <v>58</v>
      </c>
      <c r="J56" s="20" t="s">
        <v>225</v>
      </c>
      <c r="K56" s="20" t="s">
        <v>66</v>
      </c>
      <c r="L56" s="21">
        <v>27222</v>
      </c>
      <c r="M56" s="20" t="s">
        <v>482</v>
      </c>
      <c r="N56" s="20" t="s">
        <v>129</v>
      </c>
      <c r="O56" s="20" t="s">
        <v>70</v>
      </c>
      <c r="P56" s="20" t="s">
        <v>483</v>
      </c>
      <c r="Q56" s="20" t="s">
        <v>484</v>
      </c>
      <c r="R56" s="20" t="s">
        <v>783</v>
      </c>
      <c r="S56" s="20" t="s">
        <v>782</v>
      </c>
      <c r="T56" s="20" t="s">
        <v>63</v>
      </c>
      <c r="U56" s="20" t="s">
        <v>64</v>
      </c>
      <c r="V56" s="20" t="s">
        <v>814</v>
      </c>
      <c r="W56" s="20" t="s">
        <v>898</v>
      </c>
      <c r="X56" s="20" t="s">
        <v>932</v>
      </c>
      <c r="Y56" s="20" t="s">
        <v>63</v>
      </c>
      <c r="Z56" s="20" t="s">
        <v>1529</v>
      </c>
      <c r="AA56" s="20" t="s">
        <v>1580</v>
      </c>
      <c r="AB56" s="21">
        <v>45243</v>
      </c>
      <c r="AC56" s="20"/>
      <c r="AD56" s="20"/>
      <c r="AE56" s="27">
        <v>30</v>
      </c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 t="s">
        <v>1784</v>
      </c>
      <c r="AR56" s="20" t="s">
        <v>1784</v>
      </c>
      <c r="AS56" s="29">
        <v>15525</v>
      </c>
      <c r="AT56" s="63"/>
      <c r="AU56" s="27">
        <v>15525</v>
      </c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7">
        <v>19</v>
      </c>
      <c r="BP56" s="20"/>
      <c r="BQ56" s="20"/>
      <c r="BR56" s="20"/>
      <c r="BS56" s="27">
        <v>96.06</v>
      </c>
      <c r="BT56" s="20"/>
      <c r="BU56" s="20"/>
      <c r="BV56" s="20"/>
      <c r="BW56" s="20"/>
      <c r="BX56" s="20"/>
      <c r="BY56" s="28">
        <v>15640.06</v>
      </c>
      <c r="BZ56" s="20"/>
      <c r="CA56" s="20"/>
      <c r="CB56" s="20"/>
      <c r="CC56" s="27">
        <v>2222.09</v>
      </c>
      <c r="CD56" s="20"/>
      <c r="CE56" s="27">
        <v>1554.4</v>
      </c>
      <c r="CF56" s="20">
        <v>248.7</v>
      </c>
      <c r="CG56" s="27">
        <v>166.93</v>
      </c>
      <c r="CH56" s="20"/>
      <c r="CI56" s="20"/>
      <c r="CJ56" s="20"/>
      <c r="CK56" s="20"/>
      <c r="CL56" s="20"/>
      <c r="CM56" s="27">
        <v>19</v>
      </c>
      <c r="CN56" s="20"/>
      <c r="CO56" s="20"/>
      <c r="CP56" s="20"/>
      <c r="CQ56" s="20"/>
      <c r="CR56" s="27">
        <v>96.06</v>
      </c>
      <c r="CS56" s="20"/>
      <c r="CT56" s="20"/>
      <c r="CU56" s="20"/>
      <c r="CV56" s="20"/>
      <c r="CW56" s="20"/>
      <c r="CX56" s="20"/>
      <c r="CY56" s="28">
        <v>4307.18</v>
      </c>
      <c r="CZ56" s="27">
        <v>1049.22</v>
      </c>
      <c r="DA56" s="27">
        <v>349.74</v>
      </c>
      <c r="DB56" s="27">
        <v>42.65</v>
      </c>
      <c r="DC56" s="27">
        <v>91.71</v>
      </c>
      <c r="DD56" s="20"/>
      <c r="DE56" s="27">
        <v>41.43</v>
      </c>
      <c r="DF56" s="28">
        <v>1574.75</v>
      </c>
      <c r="DG56" s="28">
        <v>11332.88</v>
      </c>
    </row>
    <row r="57" spans="2:111" s="31" customFormat="1" ht="14.5" x14ac:dyDescent="0.35">
      <c r="B57" s="32">
        <v>151</v>
      </c>
      <c r="C57" s="32" t="s">
        <v>187</v>
      </c>
      <c r="D57" s="32" t="s">
        <v>105</v>
      </c>
      <c r="E57" s="32" t="s">
        <v>284</v>
      </c>
      <c r="F57" s="32" t="s">
        <v>478</v>
      </c>
      <c r="G57" s="32" t="s">
        <v>607</v>
      </c>
      <c r="H57" s="32" t="s">
        <v>678</v>
      </c>
      <c r="I57" s="32" t="s">
        <v>58</v>
      </c>
      <c r="J57" s="32" t="s">
        <v>284</v>
      </c>
      <c r="K57" s="32" t="s">
        <v>59</v>
      </c>
      <c r="L57" s="37">
        <v>29319</v>
      </c>
      <c r="M57" s="32" t="s">
        <v>320</v>
      </c>
      <c r="N57" s="32" t="s">
        <v>129</v>
      </c>
      <c r="O57" s="32" t="s">
        <v>60</v>
      </c>
      <c r="P57" s="32" t="s">
        <v>321</v>
      </c>
      <c r="Q57" s="32" t="s">
        <v>322</v>
      </c>
      <c r="R57" s="32" t="s">
        <v>779</v>
      </c>
      <c r="S57" s="32" t="s">
        <v>782</v>
      </c>
      <c r="T57" s="32" t="s">
        <v>65</v>
      </c>
      <c r="U57" s="32" t="s">
        <v>73</v>
      </c>
      <c r="V57" s="32" t="s">
        <v>863</v>
      </c>
      <c r="W57" s="32" t="s">
        <v>891</v>
      </c>
      <c r="X57" s="32" t="s">
        <v>990</v>
      </c>
      <c r="Y57" s="32" t="s">
        <v>65</v>
      </c>
      <c r="Z57" s="32" t="s">
        <v>1529</v>
      </c>
      <c r="AA57" s="32" t="s">
        <v>1660</v>
      </c>
      <c r="AB57" s="37">
        <v>44543</v>
      </c>
      <c r="AC57" s="50">
        <v>45930</v>
      </c>
      <c r="AD57" s="32" t="s">
        <v>1023</v>
      </c>
      <c r="AE57" s="36"/>
      <c r="AF57" s="32"/>
      <c r="AG57" s="32">
        <v>30</v>
      </c>
      <c r="AH57" s="32"/>
      <c r="AI57" s="32"/>
      <c r="AJ57" s="32"/>
      <c r="AK57" s="32"/>
      <c r="AL57" s="32"/>
      <c r="AM57" s="32"/>
      <c r="AN57" s="32"/>
      <c r="AO57" s="32"/>
      <c r="AP57" s="32">
        <v>1</v>
      </c>
      <c r="AQ57" s="32" t="s">
        <v>1784</v>
      </c>
      <c r="AR57" s="32" t="s">
        <v>1784</v>
      </c>
      <c r="AS57" s="38">
        <v>1961.4</v>
      </c>
      <c r="AT57" s="68">
        <v>113</v>
      </c>
      <c r="AU57" s="36"/>
      <c r="AV57" s="32">
        <v>113</v>
      </c>
      <c r="AW57" s="32"/>
      <c r="AX57" s="32"/>
      <c r="AY57" s="32"/>
      <c r="AZ57" s="32">
        <v>3314.42</v>
      </c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>
        <v>138.29</v>
      </c>
      <c r="BO57" s="36"/>
      <c r="BP57" s="32"/>
      <c r="BQ57" s="32"/>
      <c r="BR57" s="32"/>
      <c r="BS57" s="36">
        <v>48.03</v>
      </c>
      <c r="BT57" s="32"/>
      <c r="BU57" s="32">
        <v>762.62</v>
      </c>
      <c r="BV57" s="32"/>
      <c r="BW57" s="32"/>
      <c r="BX57" s="32"/>
      <c r="BY57" s="39">
        <v>4376.3599999999997</v>
      </c>
      <c r="BZ57" s="32"/>
      <c r="CA57" s="32"/>
      <c r="CB57" s="32"/>
      <c r="CC57" s="36"/>
      <c r="CD57" s="32"/>
      <c r="CE57" s="36">
        <v>432.83</v>
      </c>
      <c r="CF57" s="32">
        <v>67.09</v>
      </c>
      <c r="CG57" s="36">
        <v>59.3</v>
      </c>
      <c r="CH57" s="32"/>
      <c r="CI57" s="32"/>
      <c r="CJ57" s="32"/>
      <c r="CK57" s="32"/>
      <c r="CL57" s="32">
        <v>317</v>
      </c>
      <c r="CM57" s="36"/>
      <c r="CN57" s="32"/>
      <c r="CO57" s="32"/>
      <c r="CP57" s="32"/>
      <c r="CQ57" s="32"/>
      <c r="CR57" s="36">
        <v>48.03</v>
      </c>
      <c r="CS57" s="32"/>
      <c r="CT57" s="32"/>
      <c r="CU57" s="32"/>
      <c r="CV57" s="32"/>
      <c r="CW57" s="32"/>
      <c r="CX57" s="32"/>
      <c r="CY57" s="39">
        <v>924.25</v>
      </c>
      <c r="CZ57" s="36">
        <v>292.16000000000003</v>
      </c>
      <c r="DA57" s="36">
        <v>97.39</v>
      </c>
      <c r="DB57" s="36">
        <v>15.15</v>
      </c>
      <c r="DC57" s="36">
        <v>25.54</v>
      </c>
      <c r="DD57" s="32"/>
      <c r="DE57" s="36">
        <v>14.72</v>
      </c>
      <c r="DF57" s="39">
        <v>444.96</v>
      </c>
      <c r="DG57" s="39">
        <v>3452.11</v>
      </c>
    </row>
    <row r="58" spans="2:111" s="33" customFormat="1" ht="14.5" x14ac:dyDescent="0.35">
      <c r="B58" s="20">
        <v>155</v>
      </c>
      <c r="C58" s="20" t="s">
        <v>187</v>
      </c>
      <c r="D58" s="20" t="s">
        <v>105</v>
      </c>
      <c r="E58" s="20" t="s">
        <v>287</v>
      </c>
      <c r="F58" s="20" t="s">
        <v>682</v>
      </c>
      <c r="G58" s="20" t="s">
        <v>683</v>
      </c>
      <c r="H58" s="20" t="s">
        <v>684</v>
      </c>
      <c r="I58" s="20" t="s">
        <v>58</v>
      </c>
      <c r="J58" s="20" t="s">
        <v>287</v>
      </c>
      <c r="K58" s="20" t="s">
        <v>59</v>
      </c>
      <c r="L58" s="21">
        <v>32605</v>
      </c>
      <c r="M58" s="20" t="s">
        <v>320</v>
      </c>
      <c r="N58" s="20" t="s">
        <v>129</v>
      </c>
      <c r="O58" s="20" t="s">
        <v>60</v>
      </c>
      <c r="P58" s="20" t="s">
        <v>321</v>
      </c>
      <c r="Q58" s="20" t="s">
        <v>322</v>
      </c>
      <c r="R58" s="20" t="s">
        <v>783</v>
      </c>
      <c r="S58" s="20" t="s">
        <v>106</v>
      </c>
      <c r="T58" s="20" t="s">
        <v>63</v>
      </c>
      <c r="U58" s="20" t="s">
        <v>64</v>
      </c>
      <c r="V58" s="20" t="s">
        <v>866</v>
      </c>
      <c r="W58" s="20" t="s">
        <v>898</v>
      </c>
      <c r="X58" s="20" t="s">
        <v>993</v>
      </c>
      <c r="Y58" s="20" t="s">
        <v>63</v>
      </c>
      <c r="Z58" s="20" t="s">
        <v>1529</v>
      </c>
      <c r="AA58" s="20" t="s">
        <v>1663</v>
      </c>
      <c r="AB58" s="21">
        <v>44762</v>
      </c>
      <c r="AC58" s="20"/>
      <c r="AD58" s="20"/>
      <c r="AE58" s="27">
        <v>30</v>
      </c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>
        <v>1</v>
      </c>
      <c r="AQ58" s="20" t="s">
        <v>1784</v>
      </c>
      <c r="AR58" s="20" t="s">
        <v>1784</v>
      </c>
      <c r="AS58" s="29">
        <v>1939.7</v>
      </c>
      <c r="AT58" s="63">
        <v>113</v>
      </c>
      <c r="AU58" s="27">
        <v>1939.7</v>
      </c>
      <c r="AV58" s="20">
        <v>113</v>
      </c>
      <c r="AW58" s="20"/>
      <c r="AX58" s="20"/>
      <c r="AY58" s="20"/>
      <c r="AZ58" s="20"/>
      <c r="BA58" s="20"/>
      <c r="BB58" s="20"/>
      <c r="BC58" s="20"/>
      <c r="BD58" s="20"/>
      <c r="BE58" s="20">
        <v>390</v>
      </c>
      <c r="BF58" s="20"/>
      <c r="BG58" s="20">
        <v>520</v>
      </c>
      <c r="BH58" s="20"/>
      <c r="BI58" s="20"/>
      <c r="BJ58" s="20"/>
      <c r="BK58" s="20"/>
      <c r="BL58" s="20"/>
      <c r="BM58" s="20"/>
      <c r="BN58" s="20">
        <v>136.85</v>
      </c>
      <c r="BO58" s="27"/>
      <c r="BP58" s="20"/>
      <c r="BQ58" s="20"/>
      <c r="BR58" s="20"/>
      <c r="BS58" s="27">
        <v>96.06</v>
      </c>
      <c r="BT58" s="20"/>
      <c r="BU58" s="20">
        <v>581.91</v>
      </c>
      <c r="BV58" s="20"/>
      <c r="BW58" s="20"/>
      <c r="BX58" s="20"/>
      <c r="BY58" s="28">
        <v>3777.52</v>
      </c>
      <c r="BZ58" s="20"/>
      <c r="CA58" s="20"/>
      <c r="CB58" s="20"/>
      <c r="CC58" s="27">
        <v>72.72</v>
      </c>
      <c r="CD58" s="20"/>
      <c r="CE58" s="27">
        <v>316.14999999999998</v>
      </c>
      <c r="CF58" s="20">
        <v>50.58</v>
      </c>
      <c r="CG58" s="27">
        <v>43.31</v>
      </c>
      <c r="CH58" s="20"/>
      <c r="CI58" s="20"/>
      <c r="CJ58" s="20"/>
      <c r="CK58" s="20"/>
      <c r="CL58" s="20"/>
      <c r="CM58" s="27"/>
      <c r="CN58" s="20"/>
      <c r="CO58" s="20"/>
      <c r="CP58" s="20"/>
      <c r="CQ58" s="20"/>
      <c r="CR58" s="27">
        <v>96.06</v>
      </c>
      <c r="CS58" s="20"/>
      <c r="CT58" s="20"/>
      <c r="CU58" s="20"/>
      <c r="CV58" s="20"/>
      <c r="CW58" s="20"/>
      <c r="CX58" s="20"/>
      <c r="CY58" s="28">
        <v>578.82000000000005</v>
      </c>
      <c r="CZ58" s="27">
        <v>213.4</v>
      </c>
      <c r="DA58" s="27">
        <v>71.13</v>
      </c>
      <c r="DB58" s="27">
        <v>11.07</v>
      </c>
      <c r="DC58" s="27">
        <v>18.649999999999999</v>
      </c>
      <c r="DD58" s="20"/>
      <c r="DE58" s="27">
        <v>10.75</v>
      </c>
      <c r="DF58" s="28">
        <v>325</v>
      </c>
      <c r="DG58" s="28">
        <v>3198.7</v>
      </c>
    </row>
    <row r="59" spans="2:111" s="31" customFormat="1" ht="14.5" x14ac:dyDescent="0.35">
      <c r="B59" s="20">
        <v>81</v>
      </c>
      <c r="C59" s="20" t="s">
        <v>187</v>
      </c>
      <c r="D59" s="20" t="s">
        <v>109</v>
      </c>
      <c r="E59" s="20" t="s">
        <v>243</v>
      </c>
      <c r="F59" s="20" t="s">
        <v>551</v>
      </c>
      <c r="G59" s="20" t="s">
        <v>552</v>
      </c>
      <c r="H59" s="20" t="s">
        <v>553</v>
      </c>
      <c r="I59" s="20" t="s">
        <v>58</v>
      </c>
      <c r="J59" s="20" t="s">
        <v>243</v>
      </c>
      <c r="K59" s="20" t="s">
        <v>59</v>
      </c>
      <c r="L59" s="21">
        <v>33163</v>
      </c>
      <c r="M59" s="20" t="s">
        <v>419</v>
      </c>
      <c r="N59" s="20" t="s">
        <v>327</v>
      </c>
      <c r="O59" s="20" t="s">
        <v>67</v>
      </c>
      <c r="P59" s="20" t="s">
        <v>1051</v>
      </c>
      <c r="Q59" s="20" t="s">
        <v>1052</v>
      </c>
      <c r="R59" s="20" t="s">
        <v>783</v>
      </c>
      <c r="S59" s="20" t="s">
        <v>780</v>
      </c>
      <c r="T59" s="20" t="s">
        <v>137</v>
      </c>
      <c r="U59" s="20" t="s">
        <v>64</v>
      </c>
      <c r="V59" s="20" t="s">
        <v>1028</v>
      </c>
      <c r="W59" s="20" t="s">
        <v>893</v>
      </c>
      <c r="X59" s="20" t="s">
        <v>950</v>
      </c>
      <c r="Y59" s="20" t="s">
        <v>137</v>
      </c>
      <c r="Z59" s="20" t="s">
        <v>1529</v>
      </c>
      <c r="AA59" s="20" t="s">
        <v>1605</v>
      </c>
      <c r="AB59" s="21">
        <v>45580</v>
      </c>
      <c r="AC59" s="20"/>
      <c r="AD59" s="20"/>
      <c r="AE59" s="27">
        <v>30</v>
      </c>
      <c r="AF59" s="20"/>
      <c r="AG59" s="20"/>
      <c r="AH59" s="20"/>
      <c r="AI59" s="20"/>
      <c r="AJ59" s="20"/>
      <c r="AK59" s="20"/>
      <c r="AL59" s="20">
        <v>4</v>
      </c>
      <c r="AM59" s="20">
        <v>10</v>
      </c>
      <c r="AN59" s="20"/>
      <c r="AO59" s="20"/>
      <c r="AP59" s="20"/>
      <c r="AQ59" s="20">
        <v>38</v>
      </c>
      <c r="AR59" s="20">
        <v>40</v>
      </c>
      <c r="AS59" s="29">
        <v>2163</v>
      </c>
      <c r="AT59" s="63">
        <v>113</v>
      </c>
      <c r="AU59" s="27">
        <v>2163</v>
      </c>
      <c r="AV59" s="20">
        <v>113</v>
      </c>
      <c r="AW59" s="20">
        <v>47.42</v>
      </c>
      <c r="AX59" s="20">
        <v>128.03</v>
      </c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7">
        <v>422.5</v>
      </c>
      <c r="BP59" s="20"/>
      <c r="BQ59" s="20"/>
      <c r="BR59" s="20"/>
      <c r="BS59" s="27">
        <v>144.1</v>
      </c>
      <c r="BT59" s="20"/>
      <c r="BU59" s="20"/>
      <c r="BV59" s="20">
        <v>198.28</v>
      </c>
      <c r="BW59" s="20">
        <v>51.37</v>
      </c>
      <c r="BX59" s="20"/>
      <c r="BY59" s="28">
        <v>3267.7</v>
      </c>
      <c r="BZ59" s="20"/>
      <c r="CA59" s="20">
        <v>865.2</v>
      </c>
      <c r="CB59" s="20"/>
      <c r="CC59" s="27">
        <v>60.75</v>
      </c>
      <c r="CD59" s="20"/>
      <c r="CE59" s="27">
        <v>312.36</v>
      </c>
      <c r="CF59" s="20">
        <v>52.79</v>
      </c>
      <c r="CG59" s="27">
        <v>42.79</v>
      </c>
      <c r="CH59" s="20"/>
      <c r="CI59" s="20"/>
      <c r="CJ59" s="20">
        <v>15</v>
      </c>
      <c r="CK59" s="20"/>
      <c r="CL59" s="20"/>
      <c r="CM59" s="27">
        <v>422.5</v>
      </c>
      <c r="CN59" s="20"/>
      <c r="CO59" s="20"/>
      <c r="CP59" s="20"/>
      <c r="CQ59" s="20"/>
      <c r="CR59" s="27">
        <v>144.1</v>
      </c>
      <c r="CS59" s="20"/>
      <c r="CT59" s="20"/>
      <c r="CU59" s="20"/>
      <c r="CV59" s="20"/>
      <c r="CW59" s="20"/>
      <c r="CX59" s="20"/>
      <c r="CY59" s="28">
        <v>1915.49</v>
      </c>
      <c r="CZ59" s="27">
        <v>210.84</v>
      </c>
      <c r="DA59" s="27">
        <v>70.28</v>
      </c>
      <c r="DB59" s="27">
        <v>10.93</v>
      </c>
      <c r="DC59" s="27">
        <v>18.43</v>
      </c>
      <c r="DD59" s="20">
        <v>23.43</v>
      </c>
      <c r="DE59" s="27">
        <v>10.62</v>
      </c>
      <c r="DF59" s="28">
        <v>344.53</v>
      </c>
      <c r="DG59" s="28">
        <v>1352.21</v>
      </c>
    </row>
    <row r="60" spans="2:111" s="31" customFormat="1" ht="14.5" x14ac:dyDescent="0.35">
      <c r="B60" s="20">
        <v>54</v>
      </c>
      <c r="C60" s="20" t="s">
        <v>187</v>
      </c>
      <c r="D60" s="20" t="s">
        <v>105</v>
      </c>
      <c r="E60" s="20" t="s">
        <v>228</v>
      </c>
      <c r="F60" s="20" t="s">
        <v>494</v>
      </c>
      <c r="G60" s="20" t="s">
        <v>495</v>
      </c>
      <c r="H60" s="20" t="s">
        <v>496</v>
      </c>
      <c r="I60" s="20" t="s">
        <v>58</v>
      </c>
      <c r="J60" s="20" t="s">
        <v>228</v>
      </c>
      <c r="K60" s="20" t="s">
        <v>59</v>
      </c>
      <c r="L60" s="21">
        <v>30831</v>
      </c>
      <c r="M60" s="20" t="s">
        <v>497</v>
      </c>
      <c r="N60" s="20" t="s">
        <v>327</v>
      </c>
      <c r="O60" s="20" t="s">
        <v>67</v>
      </c>
      <c r="P60" s="20" t="s">
        <v>1051</v>
      </c>
      <c r="Q60" s="20" t="s">
        <v>1052</v>
      </c>
      <c r="R60" s="20" t="s">
        <v>779</v>
      </c>
      <c r="S60" s="20" t="s">
        <v>782</v>
      </c>
      <c r="T60" s="20" t="s">
        <v>63</v>
      </c>
      <c r="U60" s="20" t="s">
        <v>64</v>
      </c>
      <c r="V60" s="20" t="s">
        <v>817</v>
      </c>
      <c r="W60" s="20" t="s">
        <v>898</v>
      </c>
      <c r="X60" s="20" t="s">
        <v>935</v>
      </c>
      <c r="Y60" s="20" t="s">
        <v>138</v>
      </c>
      <c r="Z60" s="20" t="s">
        <v>1529</v>
      </c>
      <c r="AA60" s="20" t="s">
        <v>1584</v>
      </c>
      <c r="AB60" s="21">
        <v>44102</v>
      </c>
      <c r="AC60" s="20"/>
      <c r="AD60" s="20"/>
      <c r="AE60" s="27">
        <v>30</v>
      </c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 t="s">
        <v>1784</v>
      </c>
      <c r="AR60" s="20" t="s">
        <v>1784</v>
      </c>
      <c r="AS60" s="29">
        <v>22654</v>
      </c>
      <c r="AT60" s="63">
        <v>113</v>
      </c>
      <c r="AU60" s="27">
        <v>22654</v>
      </c>
      <c r="AV60" s="20">
        <v>113</v>
      </c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7">
        <v>257.5</v>
      </c>
      <c r="BP60" s="20"/>
      <c r="BQ60" s="20"/>
      <c r="BR60" s="20">
        <v>11105</v>
      </c>
      <c r="BS60" s="27">
        <v>48.03</v>
      </c>
      <c r="BT60" s="20"/>
      <c r="BU60" s="20"/>
      <c r="BV60" s="20"/>
      <c r="BW60" s="20"/>
      <c r="BX60" s="20"/>
      <c r="BY60" s="28">
        <v>34177.53</v>
      </c>
      <c r="BZ60" s="20"/>
      <c r="CA60" s="20"/>
      <c r="CB60" s="20"/>
      <c r="CC60" s="27">
        <v>7690.99</v>
      </c>
      <c r="CD60" s="20">
        <v>11105</v>
      </c>
      <c r="CE60" s="27">
        <v>3412.95</v>
      </c>
      <c r="CF60" s="20">
        <v>546.07000000000005</v>
      </c>
      <c r="CG60" s="27">
        <v>166.93</v>
      </c>
      <c r="CH60" s="20"/>
      <c r="CI60" s="20">
        <v>520.9</v>
      </c>
      <c r="CJ60" s="20"/>
      <c r="CK60" s="20"/>
      <c r="CL60" s="20"/>
      <c r="CM60" s="27">
        <v>257.5</v>
      </c>
      <c r="CN60" s="20"/>
      <c r="CO60" s="20"/>
      <c r="CP60" s="20"/>
      <c r="CQ60" s="20"/>
      <c r="CR60" s="27">
        <v>48.03</v>
      </c>
      <c r="CS60" s="20"/>
      <c r="CT60" s="20"/>
      <c r="CU60" s="20"/>
      <c r="CV60" s="20"/>
      <c r="CW60" s="20"/>
      <c r="CX60" s="20"/>
      <c r="CY60" s="28">
        <v>23748.37</v>
      </c>
      <c r="CZ60" s="27">
        <v>2303.7399999999998</v>
      </c>
      <c r="DA60" s="27">
        <v>767.91</v>
      </c>
      <c r="DB60" s="27">
        <v>42.65</v>
      </c>
      <c r="DC60" s="27">
        <v>201.36</v>
      </c>
      <c r="DD60" s="20">
        <v>255.97</v>
      </c>
      <c r="DE60" s="27">
        <v>41.43</v>
      </c>
      <c r="DF60" s="28">
        <v>3613.06</v>
      </c>
      <c r="DG60" s="28">
        <v>10429.16</v>
      </c>
    </row>
    <row r="61" spans="2:111" s="31" customFormat="1" ht="14.5" x14ac:dyDescent="0.35">
      <c r="B61" s="20">
        <v>55</v>
      </c>
      <c r="C61" s="20" t="s">
        <v>187</v>
      </c>
      <c r="D61" s="20" t="s">
        <v>105</v>
      </c>
      <c r="E61" s="20" t="s">
        <v>1210</v>
      </c>
      <c r="F61" s="20" t="s">
        <v>498</v>
      </c>
      <c r="G61" s="20" t="s">
        <v>1211</v>
      </c>
      <c r="H61" s="20" t="s">
        <v>1212</v>
      </c>
      <c r="I61" s="20" t="s">
        <v>58</v>
      </c>
      <c r="J61" s="20" t="s">
        <v>1210</v>
      </c>
      <c r="K61" s="20" t="s">
        <v>59</v>
      </c>
      <c r="L61" s="21">
        <v>33284</v>
      </c>
      <c r="M61" s="20" t="s">
        <v>1213</v>
      </c>
      <c r="N61" s="20" t="s">
        <v>129</v>
      </c>
      <c r="O61" s="20" t="s">
        <v>67</v>
      </c>
      <c r="P61" s="20" t="s">
        <v>68</v>
      </c>
      <c r="Q61" s="20" t="s">
        <v>69</v>
      </c>
      <c r="R61" s="20" t="s">
        <v>783</v>
      </c>
      <c r="S61" s="20" t="s">
        <v>787</v>
      </c>
      <c r="T61" s="20" t="s">
        <v>63</v>
      </c>
      <c r="U61" s="20" t="s">
        <v>64</v>
      </c>
      <c r="V61" s="20" t="s">
        <v>1387</v>
      </c>
      <c r="W61" s="20" t="s">
        <v>896</v>
      </c>
      <c r="X61" s="20" t="s">
        <v>1214</v>
      </c>
      <c r="Y61" s="20" t="s">
        <v>1585</v>
      </c>
      <c r="Z61" s="20" t="s">
        <v>1529</v>
      </c>
      <c r="AA61" s="20" t="s">
        <v>1586</v>
      </c>
      <c r="AB61" s="21">
        <v>45754</v>
      </c>
      <c r="AC61" s="20"/>
      <c r="AD61" s="20"/>
      <c r="AE61" s="27">
        <v>23</v>
      </c>
      <c r="AF61" s="20"/>
      <c r="AG61" s="20">
        <v>7</v>
      </c>
      <c r="AH61" s="20"/>
      <c r="AI61" s="20"/>
      <c r="AJ61" s="20"/>
      <c r="AK61" s="20"/>
      <c r="AL61" s="20"/>
      <c r="AM61" s="20"/>
      <c r="AN61" s="20"/>
      <c r="AO61" s="20"/>
      <c r="AP61" s="20"/>
      <c r="AQ61" s="20" t="s">
        <v>1784</v>
      </c>
      <c r="AR61" s="20" t="s">
        <v>1784</v>
      </c>
      <c r="AS61" s="29">
        <v>8250</v>
      </c>
      <c r="AT61" s="63"/>
      <c r="AU61" s="27">
        <v>6325</v>
      </c>
      <c r="AV61" s="20"/>
      <c r="AW61" s="20"/>
      <c r="AX61" s="20"/>
      <c r="AY61" s="20"/>
      <c r="AZ61" s="20">
        <v>1977.89</v>
      </c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7">
        <v>258</v>
      </c>
      <c r="BP61" s="20"/>
      <c r="BQ61" s="20"/>
      <c r="BR61" s="20"/>
      <c r="BS61" s="27">
        <v>96.06</v>
      </c>
      <c r="BT61" s="20"/>
      <c r="BU61" s="20"/>
      <c r="BV61" s="20"/>
      <c r="BW61" s="20"/>
      <c r="BX61" s="20"/>
      <c r="BY61" s="28">
        <v>8656.9500000000007</v>
      </c>
      <c r="BZ61" s="20"/>
      <c r="CA61" s="20"/>
      <c r="CB61" s="20"/>
      <c r="CC61" s="27">
        <v>631.17999999999995</v>
      </c>
      <c r="CD61" s="20"/>
      <c r="CE61" s="27">
        <v>856.09</v>
      </c>
      <c r="CF61" s="20"/>
      <c r="CG61" s="27">
        <v>117.28</v>
      </c>
      <c r="CH61" s="20"/>
      <c r="CI61" s="20">
        <v>260.45</v>
      </c>
      <c r="CJ61" s="20"/>
      <c r="CK61" s="20"/>
      <c r="CL61" s="20"/>
      <c r="CM61" s="27">
        <v>258</v>
      </c>
      <c r="CN61" s="20"/>
      <c r="CO61" s="20"/>
      <c r="CP61" s="20"/>
      <c r="CQ61" s="20"/>
      <c r="CR61" s="27">
        <v>96.06</v>
      </c>
      <c r="CS61" s="20">
        <v>19.5</v>
      </c>
      <c r="CT61" s="20"/>
      <c r="CU61" s="20"/>
      <c r="CV61" s="20"/>
      <c r="CW61" s="20"/>
      <c r="CX61" s="20"/>
      <c r="CY61" s="28">
        <v>2238.56</v>
      </c>
      <c r="CZ61" s="27">
        <v>770.48</v>
      </c>
      <c r="DA61" s="27"/>
      <c r="DB61" s="27">
        <v>29.96</v>
      </c>
      <c r="DC61" s="27">
        <v>50.51</v>
      </c>
      <c r="DD61" s="20"/>
      <c r="DE61" s="27">
        <v>29.11</v>
      </c>
      <c r="DF61" s="28">
        <v>880.06</v>
      </c>
      <c r="DG61" s="28">
        <v>6418.39</v>
      </c>
    </row>
    <row r="62" spans="2:111" s="31" customFormat="1" ht="14.5" x14ac:dyDescent="0.35">
      <c r="B62" s="20">
        <v>90</v>
      </c>
      <c r="C62" s="20" t="s">
        <v>187</v>
      </c>
      <c r="D62" s="20" t="s">
        <v>109</v>
      </c>
      <c r="E62" s="20" t="s">
        <v>248</v>
      </c>
      <c r="F62" s="20" t="s">
        <v>546</v>
      </c>
      <c r="G62" s="20" t="s">
        <v>566</v>
      </c>
      <c r="H62" s="20" t="s">
        <v>463</v>
      </c>
      <c r="I62" s="20" t="s">
        <v>58</v>
      </c>
      <c r="J62" s="20" t="s">
        <v>248</v>
      </c>
      <c r="K62" s="20" t="s">
        <v>59</v>
      </c>
      <c r="L62" s="21">
        <v>29120</v>
      </c>
      <c r="M62" s="20" t="s">
        <v>419</v>
      </c>
      <c r="N62" s="20" t="s">
        <v>327</v>
      </c>
      <c r="O62" s="20" t="s">
        <v>67</v>
      </c>
      <c r="P62" s="20" t="s">
        <v>1051</v>
      </c>
      <c r="Q62" s="20" t="s">
        <v>1052</v>
      </c>
      <c r="R62" s="20" t="s">
        <v>779</v>
      </c>
      <c r="S62" s="20" t="s">
        <v>780</v>
      </c>
      <c r="T62" s="20" t="s">
        <v>63</v>
      </c>
      <c r="U62" s="20" t="s">
        <v>64</v>
      </c>
      <c r="V62" s="20" t="s">
        <v>835</v>
      </c>
      <c r="W62" s="20" t="s">
        <v>893</v>
      </c>
      <c r="X62" s="20" t="s">
        <v>955</v>
      </c>
      <c r="Y62" s="20" t="s">
        <v>65</v>
      </c>
      <c r="Z62" s="20" t="s">
        <v>1529</v>
      </c>
      <c r="AA62" s="20" t="s">
        <v>1611</v>
      </c>
      <c r="AB62" s="21">
        <v>44236</v>
      </c>
      <c r="AC62" s="20"/>
      <c r="AD62" s="20"/>
      <c r="AE62" s="27">
        <v>12</v>
      </c>
      <c r="AF62" s="20"/>
      <c r="AG62" s="20">
        <v>18</v>
      </c>
      <c r="AH62" s="20"/>
      <c r="AI62" s="20"/>
      <c r="AJ62" s="20"/>
      <c r="AK62" s="20"/>
      <c r="AL62" s="20"/>
      <c r="AM62" s="20"/>
      <c r="AN62" s="20"/>
      <c r="AO62" s="20"/>
      <c r="AP62" s="20"/>
      <c r="AQ62" s="20">
        <v>16</v>
      </c>
      <c r="AR62" s="20" t="s">
        <v>1784</v>
      </c>
      <c r="AS62" s="29">
        <v>3296</v>
      </c>
      <c r="AT62" s="63">
        <v>150</v>
      </c>
      <c r="AU62" s="27">
        <v>1318.4</v>
      </c>
      <c r="AV62" s="20">
        <v>150</v>
      </c>
      <c r="AW62" s="20"/>
      <c r="AX62" s="20"/>
      <c r="AY62" s="20"/>
      <c r="AZ62" s="20">
        <v>2759.57</v>
      </c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7">
        <v>27</v>
      </c>
      <c r="BP62" s="20"/>
      <c r="BQ62" s="20"/>
      <c r="BR62" s="20"/>
      <c r="BS62" s="27">
        <v>96.07</v>
      </c>
      <c r="BT62" s="20">
        <v>100</v>
      </c>
      <c r="BU62" s="20"/>
      <c r="BV62" s="20"/>
      <c r="BW62" s="20">
        <v>32.96</v>
      </c>
      <c r="BX62" s="20"/>
      <c r="BY62" s="28">
        <v>4484</v>
      </c>
      <c r="BZ62" s="20"/>
      <c r="CA62" s="20"/>
      <c r="CB62" s="20"/>
      <c r="CC62" s="27">
        <v>83.24</v>
      </c>
      <c r="CD62" s="20"/>
      <c r="CE62" s="27">
        <v>428.79</v>
      </c>
      <c r="CF62" s="20">
        <v>72.47</v>
      </c>
      <c r="CG62" s="27">
        <v>58.74</v>
      </c>
      <c r="CH62" s="20">
        <v>1848.03</v>
      </c>
      <c r="CI62" s="20"/>
      <c r="CJ62" s="20"/>
      <c r="CK62" s="20"/>
      <c r="CL62" s="20"/>
      <c r="CM62" s="27">
        <v>27</v>
      </c>
      <c r="CN62" s="20"/>
      <c r="CO62" s="20"/>
      <c r="CP62" s="20"/>
      <c r="CQ62" s="20"/>
      <c r="CR62" s="27">
        <v>96.07</v>
      </c>
      <c r="CS62" s="20"/>
      <c r="CT62" s="20"/>
      <c r="CU62" s="20"/>
      <c r="CV62" s="20">
        <v>100</v>
      </c>
      <c r="CW62" s="20">
        <v>274.67</v>
      </c>
      <c r="CX62" s="20"/>
      <c r="CY62" s="28">
        <v>2989.01</v>
      </c>
      <c r="CZ62" s="27">
        <v>289.44</v>
      </c>
      <c r="DA62" s="27">
        <v>96.48</v>
      </c>
      <c r="DB62" s="27">
        <v>15.01</v>
      </c>
      <c r="DC62" s="27">
        <v>25.3</v>
      </c>
      <c r="DD62" s="20">
        <v>32.159999999999997</v>
      </c>
      <c r="DE62" s="27">
        <v>14.58</v>
      </c>
      <c r="DF62" s="28">
        <v>472.97</v>
      </c>
      <c r="DG62" s="28">
        <v>1494.99</v>
      </c>
    </row>
    <row r="63" spans="2:111" s="31" customFormat="1" ht="14.5" x14ac:dyDescent="0.35">
      <c r="B63" s="20">
        <v>158</v>
      </c>
      <c r="C63" s="20" t="s">
        <v>187</v>
      </c>
      <c r="D63" s="20" t="s">
        <v>105</v>
      </c>
      <c r="E63" s="20" t="s">
        <v>288</v>
      </c>
      <c r="F63" s="20" t="s">
        <v>685</v>
      </c>
      <c r="G63" s="20" t="s">
        <v>687</v>
      </c>
      <c r="H63" s="20" t="s">
        <v>688</v>
      </c>
      <c r="I63" s="20" t="s">
        <v>58</v>
      </c>
      <c r="J63" s="20" t="s">
        <v>288</v>
      </c>
      <c r="K63" s="20" t="s">
        <v>59</v>
      </c>
      <c r="L63" s="21">
        <v>32829</v>
      </c>
      <c r="M63" s="20" t="s">
        <v>320</v>
      </c>
      <c r="N63" s="20" t="s">
        <v>129</v>
      </c>
      <c r="O63" s="20" t="s">
        <v>60</v>
      </c>
      <c r="P63" s="20" t="s">
        <v>321</v>
      </c>
      <c r="Q63" s="20" t="s">
        <v>322</v>
      </c>
      <c r="R63" s="20" t="s">
        <v>779</v>
      </c>
      <c r="S63" s="20" t="s">
        <v>787</v>
      </c>
      <c r="T63" s="20" t="s">
        <v>65</v>
      </c>
      <c r="U63" s="20" t="s">
        <v>73</v>
      </c>
      <c r="V63" s="20" t="s">
        <v>867</v>
      </c>
      <c r="W63" s="20" t="s">
        <v>893</v>
      </c>
      <c r="X63" s="20" t="s">
        <v>994</v>
      </c>
      <c r="Y63" s="20" t="s">
        <v>65</v>
      </c>
      <c r="Z63" s="20" t="s">
        <v>1529</v>
      </c>
      <c r="AA63" s="20" t="s">
        <v>1665</v>
      </c>
      <c r="AB63" s="21">
        <v>44669</v>
      </c>
      <c r="AC63" s="20"/>
      <c r="AD63" s="20"/>
      <c r="AE63" s="27">
        <v>30</v>
      </c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>
        <v>1</v>
      </c>
      <c r="AQ63" s="20" t="s">
        <v>1784</v>
      </c>
      <c r="AR63" s="20" t="s">
        <v>1784</v>
      </c>
      <c r="AS63" s="29">
        <v>1939.7</v>
      </c>
      <c r="AT63" s="63">
        <v>113</v>
      </c>
      <c r="AU63" s="27">
        <v>1939.7</v>
      </c>
      <c r="AV63" s="20">
        <v>113</v>
      </c>
      <c r="AW63" s="20"/>
      <c r="AX63" s="20"/>
      <c r="AY63" s="20"/>
      <c r="AZ63" s="20"/>
      <c r="BA63" s="20"/>
      <c r="BB63" s="20"/>
      <c r="BC63" s="20"/>
      <c r="BD63" s="20"/>
      <c r="BE63" s="20">
        <v>390</v>
      </c>
      <c r="BF63" s="20"/>
      <c r="BG63" s="20"/>
      <c r="BH63" s="20"/>
      <c r="BI63" s="20"/>
      <c r="BJ63" s="20"/>
      <c r="BK63" s="20"/>
      <c r="BL63" s="20"/>
      <c r="BM63" s="20"/>
      <c r="BN63" s="20">
        <v>136.85</v>
      </c>
      <c r="BO63" s="27"/>
      <c r="BP63" s="20"/>
      <c r="BQ63" s="20"/>
      <c r="BR63" s="20"/>
      <c r="BS63" s="27">
        <v>96.06</v>
      </c>
      <c r="BT63" s="20"/>
      <c r="BU63" s="20"/>
      <c r="BV63" s="20"/>
      <c r="BW63" s="20"/>
      <c r="BX63" s="20"/>
      <c r="BY63" s="28">
        <v>2675.61</v>
      </c>
      <c r="BZ63" s="20"/>
      <c r="CA63" s="20"/>
      <c r="CB63" s="20"/>
      <c r="CC63" s="27">
        <v>53.25</v>
      </c>
      <c r="CD63" s="20"/>
      <c r="CE63" s="27">
        <v>257.95999999999998</v>
      </c>
      <c r="CF63" s="20">
        <v>43.59</v>
      </c>
      <c r="CG63" s="27">
        <v>35.340000000000003</v>
      </c>
      <c r="CH63" s="20"/>
      <c r="CI63" s="20"/>
      <c r="CJ63" s="20"/>
      <c r="CK63" s="20"/>
      <c r="CL63" s="20"/>
      <c r="CM63" s="27"/>
      <c r="CN63" s="20"/>
      <c r="CO63" s="20"/>
      <c r="CP63" s="20"/>
      <c r="CQ63" s="20"/>
      <c r="CR63" s="27">
        <v>96.06</v>
      </c>
      <c r="CS63" s="20"/>
      <c r="CT63" s="20"/>
      <c r="CU63" s="20"/>
      <c r="CV63" s="20"/>
      <c r="CW63" s="20"/>
      <c r="CX63" s="20"/>
      <c r="CY63" s="28">
        <v>486.2</v>
      </c>
      <c r="CZ63" s="27">
        <v>174.12</v>
      </c>
      <c r="DA63" s="27">
        <v>58.04</v>
      </c>
      <c r="DB63" s="27">
        <v>9.0299999999999994</v>
      </c>
      <c r="DC63" s="27">
        <v>15.22</v>
      </c>
      <c r="DD63" s="20"/>
      <c r="DE63" s="27">
        <v>8.77</v>
      </c>
      <c r="DF63" s="28">
        <v>265.18</v>
      </c>
      <c r="DG63" s="28">
        <v>2189.41</v>
      </c>
    </row>
    <row r="64" spans="2:111" s="31" customFormat="1" ht="14.5" x14ac:dyDescent="0.35">
      <c r="B64" s="20">
        <v>92</v>
      </c>
      <c r="C64" s="20" t="s">
        <v>187</v>
      </c>
      <c r="D64" s="20" t="s">
        <v>109</v>
      </c>
      <c r="E64" s="20" t="s">
        <v>250</v>
      </c>
      <c r="F64" s="20" t="s">
        <v>569</v>
      </c>
      <c r="G64" s="20" t="s">
        <v>399</v>
      </c>
      <c r="H64" s="20" t="s">
        <v>570</v>
      </c>
      <c r="I64" s="20" t="s">
        <v>58</v>
      </c>
      <c r="J64" s="20" t="s">
        <v>250</v>
      </c>
      <c r="K64" s="20" t="s">
        <v>59</v>
      </c>
      <c r="L64" s="21">
        <v>34339</v>
      </c>
      <c r="M64" s="20" t="s">
        <v>419</v>
      </c>
      <c r="N64" s="20" t="s">
        <v>327</v>
      </c>
      <c r="O64" s="20" t="s">
        <v>67</v>
      </c>
      <c r="P64" s="20" t="s">
        <v>83</v>
      </c>
      <c r="Q64" s="20" t="s">
        <v>84</v>
      </c>
      <c r="R64" s="20" t="s">
        <v>783</v>
      </c>
      <c r="S64" s="20" t="s">
        <v>780</v>
      </c>
      <c r="T64" s="20" t="s">
        <v>65</v>
      </c>
      <c r="U64" s="20" t="s">
        <v>73</v>
      </c>
      <c r="V64" s="20" t="s">
        <v>1046</v>
      </c>
      <c r="W64" s="20" t="s">
        <v>107</v>
      </c>
      <c r="X64" s="20"/>
      <c r="Y64" s="20" t="s">
        <v>63</v>
      </c>
      <c r="Z64" s="20" t="s">
        <v>1529</v>
      </c>
      <c r="AA64" s="20" t="s">
        <v>1613</v>
      </c>
      <c r="AB64" s="21">
        <v>45580</v>
      </c>
      <c r="AC64" s="20"/>
      <c r="AD64" s="20"/>
      <c r="AE64" s="27">
        <v>30</v>
      </c>
      <c r="AF64" s="20"/>
      <c r="AG64" s="20"/>
      <c r="AH64" s="20"/>
      <c r="AI64" s="20"/>
      <c r="AJ64" s="20"/>
      <c r="AK64" s="20"/>
      <c r="AL64" s="20">
        <v>6</v>
      </c>
      <c r="AM64" s="20">
        <v>17</v>
      </c>
      <c r="AN64" s="20"/>
      <c r="AO64" s="20"/>
      <c r="AP64" s="20"/>
      <c r="AQ64" s="20">
        <v>61</v>
      </c>
      <c r="AR64" s="20">
        <v>48</v>
      </c>
      <c r="AS64" s="29">
        <v>2163</v>
      </c>
      <c r="AT64" s="63"/>
      <c r="AU64" s="27">
        <v>2163</v>
      </c>
      <c r="AV64" s="20"/>
      <c r="AW64" s="20">
        <v>67.59</v>
      </c>
      <c r="AX64" s="20">
        <v>206.84</v>
      </c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7">
        <v>377.3</v>
      </c>
      <c r="BP64" s="20"/>
      <c r="BQ64" s="20"/>
      <c r="BR64" s="20"/>
      <c r="BS64" s="27">
        <v>144.1</v>
      </c>
      <c r="BT64" s="20"/>
      <c r="BU64" s="20"/>
      <c r="BV64" s="20">
        <v>237.93</v>
      </c>
      <c r="BW64" s="20">
        <v>82.47</v>
      </c>
      <c r="BX64" s="20"/>
      <c r="BY64" s="28">
        <v>3279.23</v>
      </c>
      <c r="BZ64" s="20"/>
      <c r="CA64" s="20">
        <v>865.2</v>
      </c>
      <c r="CB64" s="20">
        <v>407.57</v>
      </c>
      <c r="CC64" s="27">
        <v>91.04</v>
      </c>
      <c r="CD64" s="20"/>
      <c r="CE64" s="27"/>
      <c r="CF64" s="20"/>
      <c r="CG64" s="27"/>
      <c r="CH64" s="20"/>
      <c r="CI64" s="20"/>
      <c r="CJ64" s="20"/>
      <c r="CK64" s="20"/>
      <c r="CL64" s="20"/>
      <c r="CM64" s="27">
        <v>377.3</v>
      </c>
      <c r="CN64" s="20"/>
      <c r="CO64" s="20"/>
      <c r="CP64" s="20"/>
      <c r="CQ64" s="20"/>
      <c r="CR64" s="27">
        <v>144.1</v>
      </c>
      <c r="CS64" s="20"/>
      <c r="CT64" s="20"/>
      <c r="CU64" s="20"/>
      <c r="CV64" s="20"/>
      <c r="CW64" s="20"/>
      <c r="CX64" s="20"/>
      <c r="CY64" s="28">
        <v>1885.21</v>
      </c>
      <c r="CZ64" s="27">
        <v>211.62</v>
      </c>
      <c r="DA64" s="27">
        <v>70.540000000000006</v>
      </c>
      <c r="DB64" s="27">
        <v>10.97</v>
      </c>
      <c r="DC64" s="27">
        <v>18.5</v>
      </c>
      <c r="DD64" s="20">
        <v>23.51</v>
      </c>
      <c r="DE64" s="27">
        <v>10.66</v>
      </c>
      <c r="DF64" s="28">
        <v>345.8</v>
      </c>
      <c r="DG64" s="28">
        <v>1394.02</v>
      </c>
    </row>
    <row r="65" spans="2:111" s="31" customFormat="1" ht="14.5" x14ac:dyDescent="0.35">
      <c r="B65" s="20">
        <v>93</v>
      </c>
      <c r="C65" s="20" t="s">
        <v>187</v>
      </c>
      <c r="D65" s="20" t="s">
        <v>109</v>
      </c>
      <c r="E65" s="20" t="s">
        <v>251</v>
      </c>
      <c r="F65" s="20" t="s">
        <v>571</v>
      </c>
      <c r="G65" s="20" t="s">
        <v>572</v>
      </c>
      <c r="H65" s="20" t="s">
        <v>573</v>
      </c>
      <c r="I65" s="20" t="s">
        <v>58</v>
      </c>
      <c r="J65" s="20" t="s">
        <v>251</v>
      </c>
      <c r="K65" s="20" t="s">
        <v>59</v>
      </c>
      <c r="L65" s="21">
        <v>33009</v>
      </c>
      <c r="M65" s="20" t="s">
        <v>419</v>
      </c>
      <c r="N65" s="20" t="s">
        <v>327</v>
      </c>
      <c r="O65" s="20" t="s">
        <v>67</v>
      </c>
      <c r="P65" s="20" t="s">
        <v>83</v>
      </c>
      <c r="Q65" s="20" t="s">
        <v>84</v>
      </c>
      <c r="R65" s="20" t="s">
        <v>779</v>
      </c>
      <c r="S65" s="20" t="s">
        <v>780</v>
      </c>
      <c r="T65" s="20" t="s">
        <v>65</v>
      </c>
      <c r="U65" s="20" t="s">
        <v>73</v>
      </c>
      <c r="V65" s="20" t="s">
        <v>837</v>
      </c>
      <c r="W65" s="20" t="s">
        <v>107</v>
      </c>
      <c r="X65" s="20"/>
      <c r="Y65" s="20" t="s">
        <v>1560</v>
      </c>
      <c r="Z65" s="20" t="s">
        <v>1529</v>
      </c>
      <c r="AA65" s="20" t="s">
        <v>1614</v>
      </c>
      <c r="AB65" s="21">
        <v>44440</v>
      </c>
      <c r="AC65" s="20"/>
      <c r="AD65" s="20"/>
      <c r="AE65" s="27">
        <v>20</v>
      </c>
      <c r="AF65" s="20"/>
      <c r="AG65" s="20">
        <v>10</v>
      </c>
      <c r="AH65" s="20"/>
      <c r="AI65" s="20"/>
      <c r="AJ65" s="20"/>
      <c r="AK65" s="20"/>
      <c r="AL65" s="20">
        <v>2</v>
      </c>
      <c r="AM65" s="20">
        <v>6</v>
      </c>
      <c r="AN65" s="20"/>
      <c r="AO65" s="20"/>
      <c r="AP65" s="20"/>
      <c r="AQ65" s="20">
        <v>8</v>
      </c>
      <c r="AR65" s="20" t="s">
        <v>1784</v>
      </c>
      <c r="AS65" s="29">
        <v>2730</v>
      </c>
      <c r="AT65" s="63">
        <v>113</v>
      </c>
      <c r="AU65" s="27">
        <v>1820</v>
      </c>
      <c r="AV65" s="20">
        <v>113</v>
      </c>
      <c r="AW65" s="20">
        <v>29.62</v>
      </c>
      <c r="AX65" s="20">
        <v>95.95</v>
      </c>
      <c r="AY65" s="20"/>
      <c r="AZ65" s="20">
        <v>1317.24</v>
      </c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7">
        <v>42.6</v>
      </c>
      <c r="BP65" s="20"/>
      <c r="BQ65" s="20"/>
      <c r="BR65" s="20"/>
      <c r="BS65" s="27">
        <v>96.07</v>
      </c>
      <c r="BT65" s="20"/>
      <c r="BU65" s="20"/>
      <c r="BV65" s="20"/>
      <c r="BW65" s="20">
        <v>13.65</v>
      </c>
      <c r="BX65" s="20"/>
      <c r="BY65" s="28">
        <v>3528.13</v>
      </c>
      <c r="BZ65" s="20"/>
      <c r="CA65" s="20">
        <v>364</v>
      </c>
      <c r="CB65" s="20">
        <v>446.17</v>
      </c>
      <c r="CC65" s="27">
        <v>82.15</v>
      </c>
      <c r="CD65" s="20"/>
      <c r="CE65" s="27"/>
      <c r="CF65" s="20"/>
      <c r="CG65" s="27"/>
      <c r="CH65" s="20"/>
      <c r="CI65" s="20"/>
      <c r="CJ65" s="20"/>
      <c r="CK65" s="20"/>
      <c r="CL65" s="20"/>
      <c r="CM65" s="27">
        <v>42.6</v>
      </c>
      <c r="CN65" s="20"/>
      <c r="CO65" s="20"/>
      <c r="CP65" s="20"/>
      <c r="CQ65" s="20"/>
      <c r="CR65" s="27">
        <v>96.07</v>
      </c>
      <c r="CS65" s="20"/>
      <c r="CT65" s="20"/>
      <c r="CU65" s="20"/>
      <c r="CV65" s="20"/>
      <c r="CW65" s="20">
        <v>227.5</v>
      </c>
      <c r="CX65" s="20"/>
      <c r="CY65" s="28">
        <v>1258.49</v>
      </c>
      <c r="CZ65" s="27">
        <v>231.66</v>
      </c>
      <c r="DA65" s="27">
        <v>77.22</v>
      </c>
      <c r="DB65" s="27">
        <v>12.01</v>
      </c>
      <c r="DC65" s="27">
        <v>20.25</v>
      </c>
      <c r="DD65" s="20">
        <v>25.74</v>
      </c>
      <c r="DE65" s="27">
        <v>11.67</v>
      </c>
      <c r="DF65" s="28">
        <v>378.55</v>
      </c>
      <c r="DG65" s="28">
        <v>2269.64</v>
      </c>
    </row>
    <row r="66" spans="2:111" s="31" customFormat="1" ht="14.5" x14ac:dyDescent="0.35">
      <c r="B66" s="20">
        <v>60</v>
      </c>
      <c r="C66" s="20" t="s">
        <v>187</v>
      </c>
      <c r="D66" s="20" t="s">
        <v>105</v>
      </c>
      <c r="E66" s="20" t="s">
        <v>1461</v>
      </c>
      <c r="F66" s="20" t="s">
        <v>506</v>
      </c>
      <c r="G66" s="20" t="s">
        <v>609</v>
      </c>
      <c r="H66" s="20" t="s">
        <v>1462</v>
      </c>
      <c r="I66" s="20" t="s">
        <v>58</v>
      </c>
      <c r="J66" s="20" t="s">
        <v>1461</v>
      </c>
      <c r="K66" s="20" t="s">
        <v>66</v>
      </c>
      <c r="L66" s="21">
        <v>37125</v>
      </c>
      <c r="M66" s="20" t="s">
        <v>1463</v>
      </c>
      <c r="N66" s="20" t="s">
        <v>129</v>
      </c>
      <c r="O66" s="20" t="s">
        <v>75</v>
      </c>
      <c r="P66" s="20" t="s">
        <v>423</v>
      </c>
      <c r="Q66" s="20" t="s">
        <v>424</v>
      </c>
      <c r="R66" s="20" t="s">
        <v>783</v>
      </c>
      <c r="S66" s="20" t="s">
        <v>787</v>
      </c>
      <c r="T66" s="20" t="s">
        <v>63</v>
      </c>
      <c r="U66" s="20" t="s">
        <v>64</v>
      </c>
      <c r="V66" s="20" t="s">
        <v>1464</v>
      </c>
      <c r="W66" s="20" t="s">
        <v>891</v>
      </c>
      <c r="X66" s="20" t="s">
        <v>1465</v>
      </c>
      <c r="Y66" s="20"/>
      <c r="Z66" s="20"/>
      <c r="AA66" s="20"/>
      <c r="AB66" s="21">
        <v>45873</v>
      </c>
      <c r="AC66" s="20"/>
      <c r="AD66" s="20"/>
      <c r="AE66" s="27">
        <v>30</v>
      </c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 t="s">
        <v>1784</v>
      </c>
      <c r="AR66" s="20" t="s">
        <v>1784</v>
      </c>
      <c r="AS66" s="29">
        <v>3200</v>
      </c>
      <c r="AT66" s="63"/>
      <c r="AU66" s="27">
        <v>3200</v>
      </c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7"/>
      <c r="BP66" s="20"/>
      <c r="BQ66" s="20"/>
      <c r="BR66" s="20"/>
      <c r="BS66" s="27">
        <v>48.03</v>
      </c>
      <c r="BT66" s="20"/>
      <c r="BU66" s="20"/>
      <c r="BV66" s="20"/>
      <c r="BW66" s="20"/>
      <c r="BX66" s="20"/>
      <c r="BY66" s="28">
        <v>3248.03</v>
      </c>
      <c r="BZ66" s="20"/>
      <c r="CA66" s="20"/>
      <c r="CB66" s="20"/>
      <c r="CC66" s="27"/>
      <c r="CD66" s="20"/>
      <c r="CE66" s="27">
        <v>320</v>
      </c>
      <c r="CF66" s="20"/>
      <c r="CG66" s="27">
        <v>43.84</v>
      </c>
      <c r="CH66" s="20"/>
      <c r="CI66" s="20"/>
      <c r="CJ66" s="20"/>
      <c r="CK66" s="20"/>
      <c r="CL66" s="20"/>
      <c r="CM66" s="27"/>
      <c r="CN66" s="20"/>
      <c r="CO66" s="20"/>
      <c r="CP66" s="20"/>
      <c r="CQ66" s="20"/>
      <c r="CR66" s="27">
        <v>48.03</v>
      </c>
      <c r="CS66" s="20"/>
      <c r="CT66" s="20"/>
      <c r="CU66" s="20"/>
      <c r="CV66" s="20"/>
      <c r="CW66" s="20"/>
      <c r="CX66" s="20"/>
      <c r="CY66" s="28">
        <v>411.87</v>
      </c>
      <c r="CZ66" s="27">
        <v>216</v>
      </c>
      <c r="DA66" s="27">
        <v>72</v>
      </c>
      <c r="DB66" s="27">
        <v>11.2</v>
      </c>
      <c r="DC66" s="27">
        <v>18.88</v>
      </c>
      <c r="DD66" s="20"/>
      <c r="DE66" s="27">
        <v>10.88</v>
      </c>
      <c r="DF66" s="28">
        <v>328.96</v>
      </c>
      <c r="DG66" s="28">
        <v>2836.16</v>
      </c>
    </row>
    <row r="67" spans="2:111" s="31" customFormat="1" ht="14.5" x14ac:dyDescent="0.35">
      <c r="B67" s="20">
        <v>61</v>
      </c>
      <c r="C67" s="20" t="s">
        <v>187</v>
      </c>
      <c r="D67" s="20" t="s">
        <v>105</v>
      </c>
      <c r="E67" s="20" t="s">
        <v>231</v>
      </c>
      <c r="F67" s="20" t="s">
        <v>508</v>
      </c>
      <c r="G67" s="20" t="s">
        <v>509</v>
      </c>
      <c r="H67" s="20" t="s">
        <v>510</v>
      </c>
      <c r="I67" s="20" t="s">
        <v>58</v>
      </c>
      <c r="J67" s="20" t="s">
        <v>231</v>
      </c>
      <c r="K67" s="20" t="s">
        <v>59</v>
      </c>
      <c r="L67" s="21">
        <v>36097</v>
      </c>
      <c r="M67" s="20" t="s">
        <v>511</v>
      </c>
      <c r="N67" s="20" t="s">
        <v>327</v>
      </c>
      <c r="O67" s="20" t="s">
        <v>75</v>
      </c>
      <c r="P67" s="20" t="s">
        <v>512</v>
      </c>
      <c r="Q67" s="20" t="s">
        <v>513</v>
      </c>
      <c r="R67" s="20" t="s">
        <v>779</v>
      </c>
      <c r="S67" s="20" t="s">
        <v>780</v>
      </c>
      <c r="T67" s="20" t="s">
        <v>65</v>
      </c>
      <c r="U67" s="20" t="s">
        <v>73</v>
      </c>
      <c r="V67" s="20" t="s">
        <v>820</v>
      </c>
      <c r="W67" s="20" t="s">
        <v>891</v>
      </c>
      <c r="X67" s="20" t="s">
        <v>938</v>
      </c>
      <c r="Y67" s="20" t="s">
        <v>138</v>
      </c>
      <c r="Z67" s="20" t="s">
        <v>1529</v>
      </c>
      <c r="AA67" s="20" t="s">
        <v>1589</v>
      </c>
      <c r="AB67" s="21">
        <v>44470</v>
      </c>
      <c r="AC67" s="20"/>
      <c r="AD67" s="20"/>
      <c r="AE67" s="27">
        <v>30</v>
      </c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 t="s">
        <v>1784</v>
      </c>
      <c r="AR67" s="20" t="s">
        <v>1784</v>
      </c>
      <c r="AS67" s="29">
        <v>6400</v>
      </c>
      <c r="AT67" s="63"/>
      <c r="AU67" s="27">
        <v>6400</v>
      </c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7">
        <v>266</v>
      </c>
      <c r="BP67" s="20"/>
      <c r="BQ67" s="20"/>
      <c r="BR67" s="20"/>
      <c r="BS67" s="27">
        <v>48.03</v>
      </c>
      <c r="BT67" s="20"/>
      <c r="BU67" s="20"/>
      <c r="BV67" s="20"/>
      <c r="BW67" s="20"/>
      <c r="BX67" s="20"/>
      <c r="BY67" s="28">
        <v>6714.03</v>
      </c>
      <c r="BZ67" s="20"/>
      <c r="CA67" s="20"/>
      <c r="CB67" s="20"/>
      <c r="CC67" s="27">
        <v>569.42999999999995</v>
      </c>
      <c r="CD67" s="20"/>
      <c r="CE67" s="27">
        <v>666.6</v>
      </c>
      <c r="CF67" s="20"/>
      <c r="CG67" s="27">
        <v>91.32</v>
      </c>
      <c r="CH67" s="20"/>
      <c r="CI67" s="20"/>
      <c r="CJ67" s="20"/>
      <c r="CK67" s="20"/>
      <c r="CL67" s="20"/>
      <c r="CM67" s="27">
        <v>266</v>
      </c>
      <c r="CN67" s="20"/>
      <c r="CO67" s="20"/>
      <c r="CP67" s="20"/>
      <c r="CQ67" s="20"/>
      <c r="CR67" s="27">
        <v>48.03</v>
      </c>
      <c r="CS67" s="20"/>
      <c r="CT67" s="20"/>
      <c r="CU67" s="20"/>
      <c r="CV67" s="20"/>
      <c r="CW67" s="20"/>
      <c r="CX67" s="20"/>
      <c r="CY67" s="28">
        <v>1641.38</v>
      </c>
      <c r="CZ67" s="27">
        <v>449.96</v>
      </c>
      <c r="DA67" s="27">
        <v>149.99</v>
      </c>
      <c r="DB67" s="27">
        <v>23.33</v>
      </c>
      <c r="DC67" s="27">
        <v>39.33</v>
      </c>
      <c r="DD67" s="20"/>
      <c r="DE67" s="27">
        <v>22.66</v>
      </c>
      <c r="DF67" s="28">
        <v>685.27</v>
      </c>
      <c r="DG67" s="28">
        <v>5072.6499999999996</v>
      </c>
    </row>
    <row r="68" spans="2:111" s="31" customFormat="1" ht="14.5" x14ac:dyDescent="0.35">
      <c r="B68" s="20">
        <v>164</v>
      </c>
      <c r="C68" s="20" t="s">
        <v>187</v>
      </c>
      <c r="D68" s="20" t="s">
        <v>105</v>
      </c>
      <c r="E68" s="20" t="s">
        <v>1772</v>
      </c>
      <c r="F68" s="20" t="s">
        <v>696</v>
      </c>
      <c r="G68" s="20" t="s">
        <v>465</v>
      </c>
      <c r="H68" s="20" t="s">
        <v>1773</v>
      </c>
      <c r="I68" s="20" t="s">
        <v>58</v>
      </c>
      <c r="J68" s="20" t="s">
        <v>1772</v>
      </c>
      <c r="K68" s="20" t="s">
        <v>59</v>
      </c>
      <c r="L68" s="21">
        <v>34785</v>
      </c>
      <c r="M68" s="20" t="s">
        <v>320</v>
      </c>
      <c r="N68" s="20" t="s">
        <v>129</v>
      </c>
      <c r="O68" s="20" t="s">
        <v>60</v>
      </c>
      <c r="P68" s="20" t="s">
        <v>321</v>
      </c>
      <c r="Q68" s="20" t="s">
        <v>322</v>
      </c>
      <c r="R68" s="20" t="s">
        <v>783</v>
      </c>
      <c r="S68" s="20" t="s">
        <v>106</v>
      </c>
      <c r="T68" s="20" t="s">
        <v>65</v>
      </c>
      <c r="U68" s="20" t="s">
        <v>73</v>
      </c>
      <c r="V68" s="20" t="s">
        <v>1774</v>
      </c>
      <c r="W68" s="20" t="s">
        <v>898</v>
      </c>
      <c r="X68" s="20" t="s">
        <v>1775</v>
      </c>
      <c r="Y68" s="20"/>
      <c r="Z68" s="20"/>
      <c r="AA68" s="20"/>
      <c r="AB68" s="21">
        <v>45922</v>
      </c>
      <c r="AC68" s="20"/>
      <c r="AD68" s="20"/>
      <c r="AE68" s="27">
        <v>9</v>
      </c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 t="s">
        <v>1784</v>
      </c>
      <c r="AR68" s="20" t="s">
        <v>1784</v>
      </c>
      <c r="AS68" s="29">
        <v>1750</v>
      </c>
      <c r="AT68" s="63"/>
      <c r="AU68" s="27">
        <v>525</v>
      </c>
      <c r="AV68" s="20"/>
      <c r="AW68" s="20"/>
      <c r="AX68" s="20"/>
      <c r="AY68" s="20"/>
      <c r="AZ68" s="20"/>
      <c r="BA68" s="20"/>
      <c r="BB68" s="20"/>
      <c r="BC68" s="20"/>
      <c r="BD68" s="20"/>
      <c r="BE68" s="20">
        <v>117</v>
      </c>
      <c r="BF68" s="20"/>
      <c r="BG68" s="20">
        <v>156</v>
      </c>
      <c r="BH68" s="20"/>
      <c r="BI68" s="20"/>
      <c r="BJ68" s="20"/>
      <c r="BK68" s="20"/>
      <c r="BL68" s="20"/>
      <c r="BM68" s="20"/>
      <c r="BN68" s="20"/>
      <c r="BO68" s="27"/>
      <c r="BP68" s="20"/>
      <c r="BQ68" s="20"/>
      <c r="BR68" s="20"/>
      <c r="BS68" s="27"/>
      <c r="BT68" s="20"/>
      <c r="BU68" s="20">
        <v>225</v>
      </c>
      <c r="BV68" s="20"/>
      <c r="BW68" s="20"/>
      <c r="BX68" s="20"/>
      <c r="BY68" s="28">
        <v>1023</v>
      </c>
      <c r="BZ68" s="20"/>
      <c r="CA68" s="20"/>
      <c r="CB68" s="20"/>
      <c r="CC68" s="27"/>
      <c r="CD68" s="20"/>
      <c r="CE68" s="27">
        <v>86.7</v>
      </c>
      <c r="CF68" s="20"/>
      <c r="CG68" s="27">
        <v>11.88</v>
      </c>
      <c r="CH68" s="20"/>
      <c r="CI68" s="20"/>
      <c r="CJ68" s="20"/>
      <c r="CK68" s="20"/>
      <c r="CL68" s="20"/>
      <c r="CM68" s="27"/>
      <c r="CN68" s="20"/>
      <c r="CO68" s="20"/>
      <c r="CP68" s="20"/>
      <c r="CQ68" s="20"/>
      <c r="CR68" s="27"/>
      <c r="CS68" s="20"/>
      <c r="CT68" s="20"/>
      <c r="CU68" s="20"/>
      <c r="CV68" s="20"/>
      <c r="CW68" s="20"/>
      <c r="CX68" s="20"/>
      <c r="CY68" s="28">
        <v>98.58</v>
      </c>
      <c r="CZ68" s="27">
        <v>101.7</v>
      </c>
      <c r="DA68" s="27"/>
      <c r="DB68" s="27">
        <v>3.03</v>
      </c>
      <c r="DC68" s="27">
        <v>5.12</v>
      </c>
      <c r="DD68" s="20"/>
      <c r="DE68" s="27">
        <v>2.95</v>
      </c>
      <c r="DF68" s="28">
        <v>112.8</v>
      </c>
      <c r="DG68" s="28">
        <v>924.42</v>
      </c>
    </row>
    <row r="69" spans="2:111" s="33" customFormat="1" ht="14.5" x14ac:dyDescent="0.35">
      <c r="B69" s="32">
        <v>63</v>
      </c>
      <c r="C69" s="32" t="s">
        <v>187</v>
      </c>
      <c r="D69" s="32" t="s">
        <v>105</v>
      </c>
      <c r="E69" s="32" t="s">
        <v>1333</v>
      </c>
      <c r="F69" s="32" t="s">
        <v>508</v>
      </c>
      <c r="G69" s="32" t="s">
        <v>1334</v>
      </c>
      <c r="H69" s="32" t="s">
        <v>1335</v>
      </c>
      <c r="I69" s="32" t="s">
        <v>58</v>
      </c>
      <c r="J69" s="32" t="s">
        <v>1333</v>
      </c>
      <c r="K69" s="32" t="s">
        <v>59</v>
      </c>
      <c r="L69" s="37">
        <v>34330</v>
      </c>
      <c r="M69" s="32" t="s">
        <v>371</v>
      </c>
      <c r="N69" s="32" t="s">
        <v>129</v>
      </c>
      <c r="O69" s="32" t="s">
        <v>70</v>
      </c>
      <c r="P69" s="32" t="s">
        <v>113</v>
      </c>
      <c r="Q69" s="32" t="s">
        <v>114</v>
      </c>
      <c r="R69" s="32" t="s">
        <v>783</v>
      </c>
      <c r="S69" s="32" t="s">
        <v>787</v>
      </c>
      <c r="T69" s="32" t="s">
        <v>96</v>
      </c>
      <c r="U69" s="32" t="s">
        <v>64</v>
      </c>
      <c r="V69" s="32" t="s">
        <v>1336</v>
      </c>
      <c r="W69" s="32" t="s">
        <v>891</v>
      </c>
      <c r="X69" s="32" t="s">
        <v>1337</v>
      </c>
      <c r="Y69" s="32"/>
      <c r="Z69" s="32"/>
      <c r="AA69" s="32"/>
      <c r="AB69" s="37">
        <v>45832</v>
      </c>
      <c r="AC69" s="50">
        <v>45911</v>
      </c>
      <c r="AD69" s="32" t="s">
        <v>1480</v>
      </c>
      <c r="AE69" s="36">
        <v>11</v>
      </c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 t="s">
        <v>1784</v>
      </c>
      <c r="AR69" s="32" t="s">
        <v>1784</v>
      </c>
      <c r="AS69" s="38">
        <v>8800</v>
      </c>
      <c r="AT69" s="68">
        <v>113</v>
      </c>
      <c r="AU69" s="36">
        <v>3226.67</v>
      </c>
      <c r="AV69" s="32">
        <v>113</v>
      </c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6"/>
      <c r="BP69" s="32"/>
      <c r="BQ69" s="32"/>
      <c r="BR69" s="32"/>
      <c r="BS69" s="36"/>
      <c r="BT69" s="32"/>
      <c r="BU69" s="32"/>
      <c r="BV69" s="32"/>
      <c r="BW69" s="32"/>
      <c r="BX69" s="32"/>
      <c r="BY69" s="39">
        <v>3339.67</v>
      </c>
      <c r="BZ69" s="32"/>
      <c r="CA69" s="32"/>
      <c r="CB69" s="32"/>
      <c r="CC69" s="36"/>
      <c r="CD69" s="32"/>
      <c r="CE69" s="36">
        <v>333.97</v>
      </c>
      <c r="CF69" s="32"/>
      <c r="CG69" s="36">
        <v>45.75</v>
      </c>
      <c r="CH69" s="32"/>
      <c r="CI69" s="32"/>
      <c r="CJ69" s="32"/>
      <c r="CK69" s="32"/>
      <c r="CL69" s="32"/>
      <c r="CM69" s="36"/>
      <c r="CN69" s="32"/>
      <c r="CO69" s="32"/>
      <c r="CP69" s="32"/>
      <c r="CQ69" s="32"/>
      <c r="CR69" s="36"/>
      <c r="CS69" s="32">
        <v>24.4</v>
      </c>
      <c r="CT69" s="32"/>
      <c r="CU69" s="32"/>
      <c r="CV69" s="32"/>
      <c r="CW69" s="32"/>
      <c r="CX69" s="32"/>
      <c r="CY69" s="39">
        <v>404.12</v>
      </c>
      <c r="CZ69" s="36">
        <v>225.43</v>
      </c>
      <c r="DA69" s="36">
        <v>75.14</v>
      </c>
      <c r="DB69" s="36">
        <v>11.69</v>
      </c>
      <c r="DC69" s="36">
        <v>19.7</v>
      </c>
      <c r="DD69" s="32"/>
      <c r="DE69" s="36">
        <v>11.35</v>
      </c>
      <c r="DF69" s="39">
        <v>343.31</v>
      </c>
      <c r="DG69" s="39">
        <v>2935.55</v>
      </c>
    </row>
    <row r="70" spans="2:111" s="31" customFormat="1" ht="14.5" x14ac:dyDescent="0.35">
      <c r="B70" s="20">
        <v>94</v>
      </c>
      <c r="C70" s="20" t="s">
        <v>187</v>
      </c>
      <c r="D70" s="20" t="s">
        <v>109</v>
      </c>
      <c r="E70" s="20">
        <v>74179202</v>
      </c>
      <c r="F70" s="20" t="s">
        <v>1105</v>
      </c>
      <c r="G70" s="20" t="s">
        <v>417</v>
      </c>
      <c r="H70" s="20" t="s">
        <v>1106</v>
      </c>
      <c r="I70" s="20" t="s">
        <v>58</v>
      </c>
      <c r="J70" s="20" t="s">
        <v>1104</v>
      </c>
      <c r="K70" s="20" t="s">
        <v>59</v>
      </c>
      <c r="L70" s="21">
        <v>34728</v>
      </c>
      <c r="M70" s="20" t="s">
        <v>419</v>
      </c>
      <c r="N70" s="20" t="s">
        <v>327</v>
      </c>
      <c r="O70" s="20" t="s">
        <v>67</v>
      </c>
      <c r="P70" s="20" t="s">
        <v>1051</v>
      </c>
      <c r="Q70" s="20" t="s">
        <v>1052</v>
      </c>
      <c r="R70" s="20" t="s">
        <v>783</v>
      </c>
      <c r="S70" s="20" t="s">
        <v>780</v>
      </c>
      <c r="T70" s="20" t="s">
        <v>63</v>
      </c>
      <c r="U70" s="20" t="s">
        <v>64</v>
      </c>
      <c r="V70" s="20" t="s">
        <v>1391</v>
      </c>
      <c r="W70" s="20" t="s">
        <v>891</v>
      </c>
      <c r="X70" s="20" t="s">
        <v>1107</v>
      </c>
      <c r="Y70" s="20" t="s">
        <v>65</v>
      </c>
      <c r="Z70" s="20" t="s">
        <v>1529</v>
      </c>
      <c r="AA70" s="20" t="s">
        <v>1615</v>
      </c>
      <c r="AB70" s="21">
        <v>45685</v>
      </c>
      <c r="AC70" s="20"/>
      <c r="AD70" s="20"/>
      <c r="AE70" s="27">
        <v>30</v>
      </c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>
        <v>38</v>
      </c>
      <c r="AR70" s="20">
        <v>72</v>
      </c>
      <c r="AS70" s="29">
        <v>2100</v>
      </c>
      <c r="AT70" s="63">
        <v>113</v>
      </c>
      <c r="AU70" s="27">
        <v>2100</v>
      </c>
      <c r="AV70" s="20">
        <v>113</v>
      </c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7">
        <v>299.10000000000002</v>
      </c>
      <c r="BP70" s="20"/>
      <c r="BQ70" s="20"/>
      <c r="BR70" s="20"/>
      <c r="BS70" s="27">
        <v>96.07</v>
      </c>
      <c r="BT70" s="20"/>
      <c r="BU70" s="20"/>
      <c r="BV70" s="20">
        <v>346.5</v>
      </c>
      <c r="BW70" s="20">
        <v>49.88</v>
      </c>
      <c r="BX70" s="20"/>
      <c r="BY70" s="28">
        <v>3004.55</v>
      </c>
      <c r="BZ70" s="20"/>
      <c r="CA70" s="20">
        <v>840</v>
      </c>
      <c r="CB70" s="20"/>
      <c r="CC70" s="27">
        <v>47.9</v>
      </c>
      <c r="CD70" s="20"/>
      <c r="CE70" s="27">
        <v>290.85000000000002</v>
      </c>
      <c r="CF70" s="20"/>
      <c r="CG70" s="27">
        <v>39.85</v>
      </c>
      <c r="CH70" s="20"/>
      <c r="CI70" s="20"/>
      <c r="CJ70" s="20"/>
      <c r="CK70" s="20"/>
      <c r="CL70" s="20"/>
      <c r="CM70" s="27">
        <v>299.10000000000002</v>
      </c>
      <c r="CN70" s="20"/>
      <c r="CO70" s="20"/>
      <c r="CP70" s="20"/>
      <c r="CQ70" s="20"/>
      <c r="CR70" s="27">
        <v>96.07</v>
      </c>
      <c r="CS70" s="20">
        <v>4.9000000000000004</v>
      </c>
      <c r="CT70" s="20"/>
      <c r="CU70" s="20"/>
      <c r="CV70" s="20"/>
      <c r="CW70" s="20"/>
      <c r="CX70" s="20"/>
      <c r="CY70" s="28">
        <v>1618.67</v>
      </c>
      <c r="CZ70" s="27">
        <v>196.32</v>
      </c>
      <c r="DA70" s="27">
        <v>65.44</v>
      </c>
      <c r="DB70" s="27">
        <v>10.18</v>
      </c>
      <c r="DC70" s="27">
        <v>17.16</v>
      </c>
      <c r="DD70" s="20">
        <v>21.81</v>
      </c>
      <c r="DE70" s="27">
        <v>9.89</v>
      </c>
      <c r="DF70" s="28">
        <v>320.8</v>
      </c>
      <c r="DG70" s="28">
        <v>1385.88</v>
      </c>
    </row>
    <row r="71" spans="2:111" s="31" customFormat="1" ht="14.5" x14ac:dyDescent="0.35">
      <c r="B71" s="20">
        <v>181</v>
      </c>
      <c r="C71" s="20" t="s">
        <v>187</v>
      </c>
      <c r="D71" s="20" t="s">
        <v>105</v>
      </c>
      <c r="E71" s="20" t="s">
        <v>302</v>
      </c>
      <c r="F71" s="20" t="s">
        <v>472</v>
      </c>
      <c r="G71" s="20" t="s">
        <v>728</v>
      </c>
      <c r="H71" s="20" t="s">
        <v>729</v>
      </c>
      <c r="I71" s="20" t="s">
        <v>58</v>
      </c>
      <c r="J71" s="20" t="s">
        <v>302</v>
      </c>
      <c r="K71" s="20" t="s">
        <v>59</v>
      </c>
      <c r="L71" s="21">
        <v>28866</v>
      </c>
      <c r="M71" s="20" t="s">
        <v>320</v>
      </c>
      <c r="N71" s="20" t="s">
        <v>129</v>
      </c>
      <c r="O71" s="20" t="s">
        <v>60</v>
      </c>
      <c r="P71" s="20" t="s">
        <v>321</v>
      </c>
      <c r="Q71" s="20" t="s">
        <v>322</v>
      </c>
      <c r="R71" s="20" t="s">
        <v>783</v>
      </c>
      <c r="S71" s="20" t="s">
        <v>106</v>
      </c>
      <c r="T71" s="20" t="s">
        <v>138</v>
      </c>
      <c r="U71" s="20" t="s">
        <v>64</v>
      </c>
      <c r="V71" s="20" t="s">
        <v>878</v>
      </c>
      <c r="W71" s="20" t="s">
        <v>893</v>
      </c>
      <c r="X71" s="20" t="s">
        <v>1008</v>
      </c>
      <c r="Y71" s="20" t="s">
        <v>138</v>
      </c>
      <c r="Z71" s="20" t="s">
        <v>1529</v>
      </c>
      <c r="AA71" s="20" t="s">
        <v>1684</v>
      </c>
      <c r="AB71" s="21">
        <v>44855</v>
      </c>
      <c r="AC71" s="20"/>
      <c r="AD71" s="20"/>
      <c r="AE71" s="27">
        <v>30</v>
      </c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>
        <v>1</v>
      </c>
      <c r="AQ71" s="20" t="s">
        <v>1784</v>
      </c>
      <c r="AR71" s="20" t="s">
        <v>1784</v>
      </c>
      <c r="AS71" s="29">
        <v>1600.9</v>
      </c>
      <c r="AT71" s="63">
        <v>113</v>
      </c>
      <c r="AU71" s="27">
        <v>1600.9</v>
      </c>
      <c r="AV71" s="20">
        <v>113</v>
      </c>
      <c r="AW71" s="20"/>
      <c r="AX71" s="20"/>
      <c r="AY71" s="20"/>
      <c r="AZ71" s="20"/>
      <c r="BA71" s="20"/>
      <c r="BB71" s="20"/>
      <c r="BC71" s="20"/>
      <c r="BD71" s="20"/>
      <c r="BE71" s="20">
        <v>390</v>
      </c>
      <c r="BF71" s="20"/>
      <c r="BG71" s="20">
        <v>1155</v>
      </c>
      <c r="BH71" s="20"/>
      <c r="BI71" s="20"/>
      <c r="BJ71" s="20"/>
      <c r="BK71" s="20"/>
      <c r="BL71" s="20"/>
      <c r="BM71" s="20"/>
      <c r="BN71" s="20">
        <v>114.26</v>
      </c>
      <c r="BO71" s="27"/>
      <c r="BP71" s="20"/>
      <c r="BQ71" s="20"/>
      <c r="BR71" s="20"/>
      <c r="BS71" s="27">
        <v>96.06</v>
      </c>
      <c r="BT71" s="20"/>
      <c r="BU71" s="20">
        <v>347.17</v>
      </c>
      <c r="BV71" s="20"/>
      <c r="BW71" s="20"/>
      <c r="BX71" s="20"/>
      <c r="BY71" s="28">
        <v>3816.39</v>
      </c>
      <c r="BZ71" s="20"/>
      <c r="CA71" s="20"/>
      <c r="CB71" s="20"/>
      <c r="CC71" s="27"/>
      <c r="CD71" s="20"/>
      <c r="CE71" s="27">
        <v>256.52999999999997</v>
      </c>
      <c r="CF71" s="20"/>
      <c r="CG71" s="27">
        <v>35.15</v>
      </c>
      <c r="CH71" s="20"/>
      <c r="CI71" s="20"/>
      <c r="CJ71" s="20"/>
      <c r="CK71" s="20"/>
      <c r="CL71" s="20"/>
      <c r="CM71" s="27"/>
      <c r="CN71" s="20"/>
      <c r="CO71" s="20"/>
      <c r="CP71" s="20"/>
      <c r="CQ71" s="20"/>
      <c r="CR71" s="27">
        <v>96.06</v>
      </c>
      <c r="CS71" s="20"/>
      <c r="CT71" s="20"/>
      <c r="CU71" s="20"/>
      <c r="CV71" s="20"/>
      <c r="CW71" s="20"/>
      <c r="CX71" s="20"/>
      <c r="CY71" s="28">
        <v>387.74</v>
      </c>
      <c r="CZ71" s="27">
        <v>173.16</v>
      </c>
      <c r="DA71" s="27">
        <v>57.72</v>
      </c>
      <c r="DB71" s="27">
        <v>8.98</v>
      </c>
      <c r="DC71" s="27">
        <v>15.14</v>
      </c>
      <c r="DD71" s="20"/>
      <c r="DE71" s="27">
        <v>8.7200000000000006</v>
      </c>
      <c r="DF71" s="28">
        <v>263.72000000000003</v>
      </c>
      <c r="DG71" s="28">
        <v>3428.65</v>
      </c>
    </row>
    <row r="72" spans="2:111" s="31" customFormat="1" ht="14.5" x14ac:dyDescent="0.35">
      <c r="B72" s="20">
        <v>96</v>
      </c>
      <c r="C72" s="20" t="s">
        <v>187</v>
      </c>
      <c r="D72" s="20" t="s">
        <v>109</v>
      </c>
      <c r="E72" s="20" t="s">
        <v>253</v>
      </c>
      <c r="F72" s="20" t="s">
        <v>577</v>
      </c>
      <c r="G72" s="20" t="s">
        <v>578</v>
      </c>
      <c r="H72" s="20" t="s">
        <v>579</v>
      </c>
      <c r="I72" s="20" t="s">
        <v>58</v>
      </c>
      <c r="J72" s="20" t="s">
        <v>253</v>
      </c>
      <c r="K72" s="20" t="s">
        <v>59</v>
      </c>
      <c r="L72" s="21">
        <v>36973</v>
      </c>
      <c r="M72" s="20" t="s">
        <v>419</v>
      </c>
      <c r="N72" s="20" t="s">
        <v>129</v>
      </c>
      <c r="O72" s="20" t="s">
        <v>67</v>
      </c>
      <c r="P72" s="20" t="s">
        <v>1051</v>
      </c>
      <c r="Q72" s="20" t="s">
        <v>1052</v>
      </c>
      <c r="R72" s="20" t="s">
        <v>783</v>
      </c>
      <c r="S72" s="20" t="s">
        <v>106</v>
      </c>
      <c r="T72" s="20" t="s">
        <v>137</v>
      </c>
      <c r="U72" s="20" t="s">
        <v>64</v>
      </c>
      <c r="V72" s="20" t="s">
        <v>839</v>
      </c>
      <c r="W72" s="20" t="s">
        <v>891</v>
      </c>
      <c r="X72" s="20" t="s">
        <v>958</v>
      </c>
      <c r="Y72" s="20" t="s">
        <v>137</v>
      </c>
      <c r="Z72" s="20" t="s">
        <v>1529</v>
      </c>
      <c r="AA72" s="20" t="s">
        <v>1617</v>
      </c>
      <c r="AB72" s="21">
        <v>45481</v>
      </c>
      <c r="AC72" s="20"/>
      <c r="AD72" s="20"/>
      <c r="AE72" s="27">
        <v>30</v>
      </c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>
        <v>14</v>
      </c>
      <c r="AR72" s="20">
        <v>40</v>
      </c>
      <c r="AS72" s="29">
        <v>2163</v>
      </c>
      <c r="AT72" s="63"/>
      <c r="AU72" s="27">
        <v>2163</v>
      </c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7">
        <v>373.3</v>
      </c>
      <c r="BP72" s="20"/>
      <c r="BQ72" s="20"/>
      <c r="BR72" s="20"/>
      <c r="BS72" s="27">
        <v>96.07</v>
      </c>
      <c r="BT72" s="20"/>
      <c r="BU72" s="20"/>
      <c r="BV72" s="20">
        <v>198.28</v>
      </c>
      <c r="BW72" s="20">
        <v>18.93</v>
      </c>
      <c r="BX72" s="20"/>
      <c r="BY72" s="28">
        <v>2849.58</v>
      </c>
      <c r="BZ72" s="20"/>
      <c r="CA72" s="20">
        <v>865.2</v>
      </c>
      <c r="CB72" s="20"/>
      <c r="CC72" s="27">
        <v>38.020000000000003</v>
      </c>
      <c r="CD72" s="20"/>
      <c r="CE72" s="27">
        <v>275.35000000000002</v>
      </c>
      <c r="CF72" s="20"/>
      <c r="CG72" s="27">
        <v>37.72</v>
      </c>
      <c r="CH72" s="20"/>
      <c r="CI72" s="20"/>
      <c r="CJ72" s="20"/>
      <c r="CK72" s="20"/>
      <c r="CL72" s="20"/>
      <c r="CM72" s="27">
        <v>373.3</v>
      </c>
      <c r="CN72" s="20"/>
      <c r="CO72" s="20"/>
      <c r="CP72" s="20"/>
      <c r="CQ72" s="20"/>
      <c r="CR72" s="27">
        <v>96.07</v>
      </c>
      <c r="CS72" s="20"/>
      <c r="CT72" s="20"/>
      <c r="CU72" s="20"/>
      <c r="CV72" s="20"/>
      <c r="CW72" s="20"/>
      <c r="CX72" s="20"/>
      <c r="CY72" s="28">
        <v>1685.66</v>
      </c>
      <c r="CZ72" s="27">
        <v>185.86</v>
      </c>
      <c r="DA72" s="27">
        <v>61.95</v>
      </c>
      <c r="DB72" s="27">
        <v>9.64</v>
      </c>
      <c r="DC72" s="27">
        <v>16.25</v>
      </c>
      <c r="DD72" s="20">
        <v>20.65</v>
      </c>
      <c r="DE72" s="27">
        <v>9.36</v>
      </c>
      <c r="DF72" s="28">
        <v>303.70999999999998</v>
      </c>
      <c r="DG72" s="28">
        <v>1163.92</v>
      </c>
    </row>
    <row r="73" spans="2:111" s="31" customFormat="1" ht="14.5" x14ac:dyDescent="0.35">
      <c r="B73" s="20">
        <v>67</v>
      </c>
      <c r="C73" s="20" t="s">
        <v>187</v>
      </c>
      <c r="D73" s="20" t="s">
        <v>105</v>
      </c>
      <c r="E73" s="20" t="s">
        <v>235</v>
      </c>
      <c r="F73" s="20" t="s">
        <v>519</v>
      </c>
      <c r="G73" s="20" t="s">
        <v>465</v>
      </c>
      <c r="H73" s="20" t="s">
        <v>520</v>
      </c>
      <c r="I73" s="20" t="s">
        <v>58</v>
      </c>
      <c r="J73" s="20" t="s">
        <v>235</v>
      </c>
      <c r="K73" s="20" t="s">
        <v>66</v>
      </c>
      <c r="L73" s="21">
        <v>31096</v>
      </c>
      <c r="M73" s="20" t="s">
        <v>521</v>
      </c>
      <c r="N73" s="20" t="s">
        <v>129</v>
      </c>
      <c r="O73" s="20" t="s">
        <v>522</v>
      </c>
      <c r="P73" s="20" t="s">
        <v>523</v>
      </c>
      <c r="Q73" s="20" t="s">
        <v>524</v>
      </c>
      <c r="R73" s="20" t="s">
        <v>779</v>
      </c>
      <c r="S73" s="20" t="s">
        <v>782</v>
      </c>
      <c r="T73" s="20" t="s">
        <v>137</v>
      </c>
      <c r="U73" s="20" t="s">
        <v>64</v>
      </c>
      <c r="V73" s="20" t="s">
        <v>822</v>
      </c>
      <c r="W73" s="20" t="s">
        <v>891</v>
      </c>
      <c r="X73" s="20" t="s">
        <v>942</v>
      </c>
      <c r="Y73" s="20" t="s">
        <v>137</v>
      </c>
      <c r="Z73" s="20" t="s">
        <v>1529</v>
      </c>
      <c r="AA73" s="20" t="s">
        <v>1594</v>
      </c>
      <c r="AB73" s="21">
        <v>44736</v>
      </c>
      <c r="AC73" s="20"/>
      <c r="AD73" s="20"/>
      <c r="AE73" s="27">
        <v>30</v>
      </c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 t="s">
        <v>1784</v>
      </c>
      <c r="AR73" s="20" t="s">
        <v>1784</v>
      </c>
      <c r="AS73" s="29">
        <v>21996</v>
      </c>
      <c r="AT73" s="63">
        <v>113</v>
      </c>
      <c r="AU73" s="27">
        <v>21996</v>
      </c>
      <c r="AV73" s="20">
        <v>113</v>
      </c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7"/>
      <c r="BP73" s="20"/>
      <c r="BQ73" s="20"/>
      <c r="BR73" s="20"/>
      <c r="BS73" s="27">
        <v>96.06</v>
      </c>
      <c r="BT73" s="20"/>
      <c r="BU73" s="20"/>
      <c r="BV73" s="20"/>
      <c r="BW73" s="20"/>
      <c r="BX73" s="20"/>
      <c r="BY73" s="28">
        <v>22205.06</v>
      </c>
      <c r="BZ73" s="20">
        <v>14000</v>
      </c>
      <c r="CA73" s="20"/>
      <c r="CB73" s="20"/>
      <c r="CC73" s="27">
        <v>4047.55</v>
      </c>
      <c r="CD73" s="20"/>
      <c r="CE73" s="27">
        <v>2210.9</v>
      </c>
      <c r="CF73" s="20">
        <v>342.69</v>
      </c>
      <c r="CG73" s="27">
        <v>166.93</v>
      </c>
      <c r="CH73" s="20"/>
      <c r="CI73" s="20">
        <v>260.45</v>
      </c>
      <c r="CJ73" s="20"/>
      <c r="CK73" s="20"/>
      <c r="CL73" s="20"/>
      <c r="CM73" s="27"/>
      <c r="CN73" s="20"/>
      <c r="CO73" s="20"/>
      <c r="CP73" s="20"/>
      <c r="CQ73" s="20"/>
      <c r="CR73" s="27">
        <v>96.06</v>
      </c>
      <c r="CS73" s="20"/>
      <c r="CT73" s="20"/>
      <c r="CU73" s="20"/>
      <c r="CV73" s="20"/>
      <c r="CW73" s="20"/>
      <c r="CX73" s="20"/>
      <c r="CY73" s="28">
        <v>21124.58</v>
      </c>
      <c r="CZ73" s="27">
        <v>1492.36</v>
      </c>
      <c r="DA73" s="27">
        <v>497.45</v>
      </c>
      <c r="DB73" s="27">
        <v>42.65</v>
      </c>
      <c r="DC73" s="27">
        <v>130.44</v>
      </c>
      <c r="DD73" s="20"/>
      <c r="DE73" s="27">
        <v>41.43</v>
      </c>
      <c r="DF73" s="28">
        <v>2204.33</v>
      </c>
      <c r="DG73" s="28">
        <v>1080.48</v>
      </c>
    </row>
    <row r="74" spans="2:111" s="31" customFormat="1" ht="14.5" x14ac:dyDescent="0.35">
      <c r="B74" s="20">
        <v>192</v>
      </c>
      <c r="C74" s="20" t="s">
        <v>187</v>
      </c>
      <c r="D74" s="20" t="s">
        <v>105</v>
      </c>
      <c r="E74" s="20" t="s">
        <v>1776</v>
      </c>
      <c r="F74" s="20" t="s">
        <v>747</v>
      </c>
      <c r="G74" s="20" t="s">
        <v>1777</v>
      </c>
      <c r="H74" s="20" t="s">
        <v>1778</v>
      </c>
      <c r="I74" s="20" t="s">
        <v>58</v>
      </c>
      <c r="J74" s="20" t="s">
        <v>1776</v>
      </c>
      <c r="K74" s="20" t="s">
        <v>59</v>
      </c>
      <c r="L74" s="21">
        <v>32947</v>
      </c>
      <c r="M74" s="20" t="s">
        <v>320</v>
      </c>
      <c r="N74" s="20" t="s">
        <v>129</v>
      </c>
      <c r="O74" s="20" t="s">
        <v>60</v>
      </c>
      <c r="P74" s="20" t="s">
        <v>321</v>
      </c>
      <c r="Q74" s="20" t="s">
        <v>322</v>
      </c>
      <c r="R74" s="20" t="s">
        <v>783</v>
      </c>
      <c r="S74" s="20" t="s">
        <v>787</v>
      </c>
      <c r="T74" s="20" t="s">
        <v>63</v>
      </c>
      <c r="U74" s="20" t="s">
        <v>64</v>
      </c>
      <c r="V74" s="20" t="s">
        <v>1779</v>
      </c>
      <c r="W74" s="20" t="s">
        <v>898</v>
      </c>
      <c r="X74" s="20" t="s">
        <v>1780</v>
      </c>
      <c r="Y74" s="20"/>
      <c r="Z74" s="20"/>
      <c r="AA74" s="20"/>
      <c r="AB74" s="21">
        <v>45922</v>
      </c>
      <c r="AC74" s="20"/>
      <c r="AD74" s="20"/>
      <c r="AE74" s="27">
        <v>9</v>
      </c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 t="s">
        <v>1784</v>
      </c>
      <c r="AR74" s="20" t="s">
        <v>1784</v>
      </c>
      <c r="AS74" s="29">
        <v>1750</v>
      </c>
      <c r="AT74" s="63"/>
      <c r="AU74" s="27">
        <v>525</v>
      </c>
      <c r="AV74" s="20"/>
      <c r="AW74" s="20"/>
      <c r="AX74" s="20"/>
      <c r="AY74" s="20"/>
      <c r="AZ74" s="20"/>
      <c r="BA74" s="20"/>
      <c r="BB74" s="20"/>
      <c r="BC74" s="20"/>
      <c r="BD74" s="20"/>
      <c r="BE74" s="20">
        <v>117</v>
      </c>
      <c r="BF74" s="20"/>
      <c r="BG74" s="20">
        <v>156</v>
      </c>
      <c r="BH74" s="20"/>
      <c r="BI74" s="20"/>
      <c r="BJ74" s="20"/>
      <c r="BK74" s="20"/>
      <c r="BL74" s="20"/>
      <c r="BM74" s="20"/>
      <c r="BN74" s="20"/>
      <c r="BO74" s="27"/>
      <c r="BP74" s="20"/>
      <c r="BQ74" s="20"/>
      <c r="BR74" s="20"/>
      <c r="BS74" s="27"/>
      <c r="BT74" s="20"/>
      <c r="BU74" s="20">
        <v>225</v>
      </c>
      <c r="BV74" s="20"/>
      <c r="BW74" s="20"/>
      <c r="BX74" s="20"/>
      <c r="BY74" s="28">
        <v>1023</v>
      </c>
      <c r="BZ74" s="20"/>
      <c r="CA74" s="20"/>
      <c r="CB74" s="20"/>
      <c r="CC74" s="27"/>
      <c r="CD74" s="20"/>
      <c r="CE74" s="27">
        <v>86.7</v>
      </c>
      <c r="CF74" s="20"/>
      <c r="CG74" s="27">
        <v>11.88</v>
      </c>
      <c r="CH74" s="20"/>
      <c r="CI74" s="20"/>
      <c r="CJ74" s="20"/>
      <c r="CK74" s="20"/>
      <c r="CL74" s="20"/>
      <c r="CM74" s="27"/>
      <c r="CN74" s="20"/>
      <c r="CO74" s="20"/>
      <c r="CP74" s="20"/>
      <c r="CQ74" s="20"/>
      <c r="CR74" s="27"/>
      <c r="CS74" s="20"/>
      <c r="CT74" s="20"/>
      <c r="CU74" s="20"/>
      <c r="CV74" s="20"/>
      <c r="CW74" s="20"/>
      <c r="CX74" s="20"/>
      <c r="CY74" s="28">
        <v>98.58</v>
      </c>
      <c r="CZ74" s="27">
        <v>101.7</v>
      </c>
      <c r="DA74" s="27"/>
      <c r="DB74" s="27">
        <v>3.03</v>
      </c>
      <c r="DC74" s="27">
        <v>5.12</v>
      </c>
      <c r="DD74" s="20"/>
      <c r="DE74" s="27">
        <v>2.95</v>
      </c>
      <c r="DF74" s="28">
        <v>112.8</v>
      </c>
      <c r="DG74" s="28">
        <v>924.42</v>
      </c>
    </row>
    <row r="75" spans="2:111" s="31" customFormat="1" ht="14.5" x14ac:dyDescent="0.35">
      <c r="B75" s="20">
        <v>69</v>
      </c>
      <c r="C75" s="20" t="s">
        <v>187</v>
      </c>
      <c r="D75" s="20" t="s">
        <v>153</v>
      </c>
      <c r="E75" s="20" t="s">
        <v>236</v>
      </c>
      <c r="F75" s="20" t="s">
        <v>525</v>
      </c>
      <c r="G75" s="20" t="s">
        <v>526</v>
      </c>
      <c r="H75" s="20" t="s">
        <v>527</v>
      </c>
      <c r="I75" s="20" t="s">
        <v>470</v>
      </c>
      <c r="J75" s="20" t="s">
        <v>236</v>
      </c>
      <c r="K75" s="20" t="s">
        <v>66</v>
      </c>
      <c r="L75" s="21">
        <v>32104</v>
      </c>
      <c r="M75" s="20" t="s">
        <v>528</v>
      </c>
      <c r="N75" s="20" t="s">
        <v>129</v>
      </c>
      <c r="O75" s="20" t="s">
        <v>522</v>
      </c>
      <c r="P75" s="20" t="s">
        <v>523</v>
      </c>
      <c r="Q75" s="20" t="s">
        <v>524</v>
      </c>
      <c r="R75" s="20" t="s">
        <v>823</v>
      </c>
      <c r="S75" s="20" t="s">
        <v>796</v>
      </c>
      <c r="T75" s="20" t="s">
        <v>65</v>
      </c>
      <c r="U75" s="20" t="s">
        <v>73</v>
      </c>
      <c r="V75" s="20" t="s">
        <v>824</v>
      </c>
      <c r="W75" s="20" t="s">
        <v>891</v>
      </c>
      <c r="X75" s="20" t="s">
        <v>943</v>
      </c>
      <c r="Y75" s="20"/>
      <c r="Z75" s="20"/>
      <c r="AA75" s="20"/>
      <c r="AB75" s="21">
        <v>45108</v>
      </c>
      <c r="AC75" s="20"/>
      <c r="AD75" s="20"/>
      <c r="AE75" s="27">
        <v>25</v>
      </c>
      <c r="AF75" s="20"/>
      <c r="AG75" s="20">
        <v>5</v>
      </c>
      <c r="AH75" s="20"/>
      <c r="AI75" s="20"/>
      <c r="AJ75" s="20"/>
      <c r="AK75" s="20"/>
      <c r="AL75" s="20"/>
      <c r="AM75" s="20"/>
      <c r="AN75" s="20"/>
      <c r="AO75" s="20"/>
      <c r="AP75" s="20"/>
      <c r="AQ75" s="20" t="s">
        <v>1784</v>
      </c>
      <c r="AR75" s="20" t="s">
        <v>1784</v>
      </c>
      <c r="AS75" s="29">
        <v>46923.02</v>
      </c>
      <c r="AT75" s="63"/>
      <c r="AU75" s="27">
        <v>39102.519999999997</v>
      </c>
      <c r="AV75" s="20"/>
      <c r="AW75" s="20"/>
      <c r="AX75" s="20"/>
      <c r="AY75" s="20"/>
      <c r="AZ75" s="20">
        <v>7820.5</v>
      </c>
      <c r="BA75" s="20"/>
      <c r="BB75" s="20"/>
      <c r="BC75" s="20"/>
      <c r="BD75" s="20">
        <v>12214.1</v>
      </c>
      <c r="BE75" s="20"/>
      <c r="BF75" s="20"/>
      <c r="BG75" s="20"/>
      <c r="BH75" s="20"/>
      <c r="BI75" s="20">
        <v>12281.5</v>
      </c>
      <c r="BJ75" s="20">
        <v>14080.071</v>
      </c>
      <c r="BK75" s="20">
        <v>1099.27</v>
      </c>
      <c r="BL75" s="20"/>
      <c r="BM75" s="20">
        <v>7124.89</v>
      </c>
      <c r="BN75" s="20"/>
      <c r="BO75" s="27"/>
      <c r="BP75" s="20"/>
      <c r="BQ75" s="20"/>
      <c r="BR75" s="20"/>
      <c r="BS75" s="27">
        <v>48.03</v>
      </c>
      <c r="BT75" s="20"/>
      <c r="BU75" s="20"/>
      <c r="BV75" s="20"/>
      <c r="BW75" s="20"/>
      <c r="BX75" s="20"/>
      <c r="BY75" s="28">
        <v>93770.880999999994</v>
      </c>
      <c r="BZ75" s="20"/>
      <c r="CA75" s="20"/>
      <c r="CB75" s="20"/>
      <c r="CC75" s="27">
        <v>22174.98</v>
      </c>
      <c r="CD75" s="20"/>
      <c r="CE75" s="27">
        <v>6100.31</v>
      </c>
      <c r="CF75" s="20"/>
      <c r="CG75" s="27">
        <v>166.93</v>
      </c>
      <c r="CH75" s="20"/>
      <c r="CI75" s="20"/>
      <c r="CJ75" s="20"/>
      <c r="CK75" s="20"/>
      <c r="CL75" s="20"/>
      <c r="CM75" s="27"/>
      <c r="CN75" s="20">
        <v>43794.879999999997</v>
      </c>
      <c r="CO75" s="20"/>
      <c r="CP75" s="20"/>
      <c r="CQ75" s="20"/>
      <c r="CR75" s="27">
        <v>48.03</v>
      </c>
      <c r="CS75" s="20"/>
      <c r="CT75" s="20"/>
      <c r="CU75" s="20">
        <v>12281.5</v>
      </c>
      <c r="CV75" s="20"/>
      <c r="CW75" s="20"/>
      <c r="CX75" s="20"/>
      <c r="CY75" s="28">
        <v>84566.63</v>
      </c>
      <c r="CZ75" s="27">
        <v>6595.61</v>
      </c>
      <c r="DA75" s="27"/>
      <c r="DB75" s="27">
        <v>42.65</v>
      </c>
      <c r="DC75" s="27">
        <v>431.98</v>
      </c>
      <c r="DD75" s="20"/>
      <c r="DE75" s="27">
        <v>41.43</v>
      </c>
      <c r="DF75" s="28">
        <v>7111.67</v>
      </c>
      <c r="DG75" s="28">
        <v>9204.2510000000002</v>
      </c>
    </row>
    <row r="76" spans="2:111" s="31" customFormat="1" ht="14.5" x14ac:dyDescent="0.35">
      <c r="B76" s="20">
        <v>70</v>
      </c>
      <c r="C76" s="20" t="s">
        <v>187</v>
      </c>
      <c r="D76" s="20" t="s">
        <v>105</v>
      </c>
      <c r="E76" s="20" t="s">
        <v>237</v>
      </c>
      <c r="F76" s="20" t="s">
        <v>529</v>
      </c>
      <c r="G76" s="20" t="s">
        <v>352</v>
      </c>
      <c r="H76" s="20" t="s">
        <v>530</v>
      </c>
      <c r="I76" s="20" t="s">
        <v>58</v>
      </c>
      <c r="J76" s="20" t="s">
        <v>237</v>
      </c>
      <c r="K76" s="20" t="s">
        <v>59</v>
      </c>
      <c r="L76" s="21">
        <v>30532</v>
      </c>
      <c r="M76" s="20" t="s">
        <v>531</v>
      </c>
      <c r="N76" s="20" t="s">
        <v>327</v>
      </c>
      <c r="O76" s="20" t="s">
        <v>67</v>
      </c>
      <c r="P76" s="20" t="s">
        <v>68</v>
      </c>
      <c r="Q76" s="20" t="s">
        <v>69</v>
      </c>
      <c r="R76" s="20" t="s">
        <v>779</v>
      </c>
      <c r="S76" s="20" t="s">
        <v>782</v>
      </c>
      <c r="T76" s="20" t="s">
        <v>138</v>
      </c>
      <c r="U76" s="20" t="s">
        <v>64</v>
      </c>
      <c r="V76" s="20" t="s">
        <v>825</v>
      </c>
      <c r="W76" s="20" t="s">
        <v>891</v>
      </c>
      <c r="X76" s="20" t="s">
        <v>944</v>
      </c>
      <c r="Y76" s="20" t="s">
        <v>65</v>
      </c>
      <c r="Z76" s="20" t="s">
        <v>1529</v>
      </c>
      <c r="AA76" s="20" t="s">
        <v>1595</v>
      </c>
      <c r="AB76" s="21">
        <v>44242</v>
      </c>
      <c r="AC76" s="20"/>
      <c r="AD76" s="20"/>
      <c r="AE76" s="27">
        <v>30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 t="s">
        <v>1784</v>
      </c>
      <c r="AR76" s="20" t="s">
        <v>1784</v>
      </c>
      <c r="AS76" s="29">
        <v>11723</v>
      </c>
      <c r="AT76" s="63">
        <v>113</v>
      </c>
      <c r="AU76" s="27">
        <v>11723</v>
      </c>
      <c r="AV76" s="20">
        <v>113</v>
      </c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7">
        <v>238.3</v>
      </c>
      <c r="BP76" s="20"/>
      <c r="BQ76" s="20"/>
      <c r="BR76" s="20"/>
      <c r="BS76" s="27">
        <v>48.03</v>
      </c>
      <c r="BT76" s="20"/>
      <c r="BU76" s="20"/>
      <c r="BV76" s="20"/>
      <c r="BW76" s="20"/>
      <c r="BX76" s="20"/>
      <c r="BY76" s="28">
        <v>12122.33</v>
      </c>
      <c r="BZ76" s="20"/>
      <c r="CA76" s="20"/>
      <c r="CB76" s="20"/>
      <c r="CC76" s="27">
        <v>1533.48</v>
      </c>
      <c r="CD76" s="20"/>
      <c r="CE76" s="27">
        <v>1207.43</v>
      </c>
      <c r="CF76" s="20">
        <v>187.15</v>
      </c>
      <c r="CG76" s="27">
        <v>165.42</v>
      </c>
      <c r="CH76" s="20"/>
      <c r="CI76" s="20"/>
      <c r="CJ76" s="20"/>
      <c r="CK76" s="20"/>
      <c r="CL76" s="20"/>
      <c r="CM76" s="27">
        <v>238.3</v>
      </c>
      <c r="CN76" s="20"/>
      <c r="CO76" s="20"/>
      <c r="CP76" s="20"/>
      <c r="CQ76" s="20"/>
      <c r="CR76" s="27">
        <v>48.03</v>
      </c>
      <c r="CS76" s="20"/>
      <c r="CT76" s="20"/>
      <c r="CU76" s="20"/>
      <c r="CV76" s="20"/>
      <c r="CW76" s="20"/>
      <c r="CX76" s="20"/>
      <c r="CY76" s="28">
        <v>3379.81</v>
      </c>
      <c r="CZ76" s="27">
        <v>815.02</v>
      </c>
      <c r="DA76" s="27">
        <v>271.67</v>
      </c>
      <c r="DB76" s="27">
        <v>42.26</v>
      </c>
      <c r="DC76" s="27">
        <v>71.239999999999995</v>
      </c>
      <c r="DD76" s="20">
        <v>90.56</v>
      </c>
      <c r="DE76" s="27">
        <v>41.05</v>
      </c>
      <c r="DF76" s="28">
        <v>1331.8</v>
      </c>
      <c r="DG76" s="28">
        <v>8742.52</v>
      </c>
    </row>
    <row r="77" spans="2:111" s="31" customFormat="1" ht="14.5" x14ac:dyDescent="0.35">
      <c r="B77" s="32">
        <v>8</v>
      </c>
      <c r="C77" s="32" t="s">
        <v>187</v>
      </c>
      <c r="D77" s="32" t="s">
        <v>105</v>
      </c>
      <c r="E77" s="32" t="s">
        <v>193</v>
      </c>
      <c r="F77" s="32" t="s">
        <v>343</v>
      </c>
      <c r="G77" s="32" t="s">
        <v>344</v>
      </c>
      <c r="H77" s="32" t="s">
        <v>100</v>
      </c>
      <c r="I77" s="32" t="s">
        <v>58</v>
      </c>
      <c r="J77" s="32" t="s">
        <v>193</v>
      </c>
      <c r="K77" s="32" t="s">
        <v>59</v>
      </c>
      <c r="L77" s="37">
        <v>25372</v>
      </c>
      <c r="M77" s="32" t="s">
        <v>345</v>
      </c>
      <c r="N77" s="32" t="s">
        <v>129</v>
      </c>
      <c r="O77" s="32" t="s">
        <v>60</v>
      </c>
      <c r="P77" s="32" t="s">
        <v>346</v>
      </c>
      <c r="Q77" s="32" t="s">
        <v>347</v>
      </c>
      <c r="R77" s="32" t="s">
        <v>783</v>
      </c>
      <c r="S77" s="32" t="s">
        <v>787</v>
      </c>
      <c r="T77" s="32" t="s">
        <v>63</v>
      </c>
      <c r="U77" s="32" t="s">
        <v>64</v>
      </c>
      <c r="V77" s="32" t="s">
        <v>788</v>
      </c>
      <c r="W77" s="32" t="s">
        <v>891</v>
      </c>
      <c r="X77" s="32" t="s">
        <v>900</v>
      </c>
      <c r="Y77" s="32" t="s">
        <v>1536</v>
      </c>
      <c r="Z77" s="32" t="s">
        <v>1529</v>
      </c>
      <c r="AA77" s="32" t="s">
        <v>1537</v>
      </c>
      <c r="AB77" s="37">
        <v>45474</v>
      </c>
      <c r="AC77" s="50">
        <v>45930</v>
      </c>
      <c r="AD77" s="32" t="s">
        <v>1579</v>
      </c>
      <c r="AE77" s="32"/>
      <c r="AF77" s="32"/>
      <c r="AG77" s="36">
        <v>30</v>
      </c>
      <c r="AH77" s="32"/>
      <c r="AI77" s="32"/>
      <c r="AJ77" s="32"/>
      <c r="AK77" s="32"/>
      <c r="AL77" s="32"/>
      <c r="AM77" s="32"/>
      <c r="AN77" s="32"/>
      <c r="AO77" s="32"/>
      <c r="AP77" s="32"/>
      <c r="AQ77" s="32" t="s">
        <v>1784</v>
      </c>
      <c r="AR77" s="32" t="s">
        <v>1784</v>
      </c>
      <c r="AS77" s="38">
        <v>1802.5</v>
      </c>
      <c r="AT77" s="38">
        <v>113</v>
      </c>
      <c r="AU77" s="32"/>
      <c r="AV77" s="36">
        <v>113</v>
      </c>
      <c r="AW77" s="32"/>
      <c r="AX77" s="32"/>
      <c r="AY77" s="32"/>
      <c r="AZ77" s="36">
        <v>2401.48</v>
      </c>
      <c r="BA77" s="32"/>
      <c r="BB77" s="32"/>
      <c r="BC77" s="32"/>
      <c r="BD77" s="32"/>
      <c r="BE77" s="36">
        <v>450</v>
      </c>
      <c r="BF77" s="32"/>
      <c r="BG77" s="36">
        <v>520</v>
      </c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6">
        <v>48.03</v>
      </c>
      <c r="BT77" s="32"/>
      <c r="BU77" s="32"/>
      <c r="BV77" s="32"/>
      <c r="BW77" s="32"/>
      <c r="BX77" s="32"/>
      <c r="BY77" s="39">
        <v>3532.51</v>
      </c>
      <c r="BZ77" s="32"/>
      <c r="CA77" s="32"/>
      <c r="CB77" s="32"/>
      <c r="CC77" s="32"/>
      <c r="CD77" s="32"/>
      <c r="CE77" s="36">
        <v>296.45</v>
      </c>
      <c r="CF77" s="36">
        <v>45.95</v>
      </c>
      <c r="CG77" s="36">
        <v>40.61</v>
      </c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6">
        <v>48.03</v>
      </c>
      <c r="CS77" s="32"/>
      <c r="CT77" s="32"/>
      <c r="CU77" s="32"/>
      <c r="CV77" s="32"/>
      <c r="CW77" s="32"/>
      <c r="CX77" s="32"/>
      <c r="CY77" s="39">
        <v>431.04</v>
      </c>
      <c r="CZ77" s="36">
        <v>200.1</v>
      </c>
      <c r="DA77" s="36">
        <v>66.7</v>
      </c>
      <c r="DB77" s="36">
        <v>10.38</v>
      </c>
      <c r="DC77" s="36">
        <v>17.489999999999998</v>
      </c>
      <c r="DD77" s="32"/>
      <c r="DE77" s="36">
        <v>10.08</v>
      </c>
      <c r="DF77" s="39">
        <v>304.75</v>
      </c>
      <c r="DG77" s="39">
        <v>3101.47</v>
      </c>
    </row>
    <row r="78" spans="2:111" s="31" customFormat="1" ht="14.5" x14ac:dyDescent="0.35">
      <c r="B78" s="20">
        <v>57</v>
      </c>
      <c r="C78" s="20" t="s">
        <v>187</v>
      </c>
      <c r="D78" s="20" t="s">
        <v>105</v>
      </c>
      <c r="E78" s="20" t="s">
        <v>1719</v>
      </c>
      <c r="F78" s="20" t="s">
        <v>119</v>
      </c>
      <c r="G78" s="20" t="s">
        <v>1720</v>
      </c>
      <c r="H78" s="20" t="s">
        <v>1721</v>
      </c>
      <c r="I78" s="20" t="s">
        <v>58</v>
      </c>
      <c r="J78" s="20" t="s">
        <v>1719</v>
      </c>
      <c r="K78" s="20" t="s">
        <v>59</v>
      </c>
      <c r="L78" s="21">
        <v>33390</v>
      </c>
      <c r="M78" s="20" t="s">
        <v>345</v>
      </c>
      <c r="N78" s="20" t="s">
        <v>129</v>
      </c>
      <c r="O78" s="20" t="s">
        <v>60</v>
      </c>
      <c r="P78" s="20" t="s">
        <v>346</v>
      </c>
      <c r="Q78" s="20" t="s">
        <v>347</v>
      </c>
      <c r="R78" s="20" t="s">
        <v>783</v>
      </c>
      <c r="S78" s="20" t="s">
        <v>106</v>
      </c>
      <c r="T78" s="20" t="s">
        <v>63</v>
      </c>
      <c r="U78" s="20" t="s">
        <v>64</v>
      </c>
      <c r="V78" s="20" t="s">
        <v>1722</v>
      </c>
      <c r="W78" s="20" t="s">
        <v>896</v>
      </c>
      <c r="X78" s="20" t="s">
        <v>1723</v>
      </c>
      <c r="Y78" s="20"/>
      <c r="Z78" s="20"/>
      <c r="AA78" s="20"/>
      <c r="AB78" s="21">
        <v>45922</v>
      </c>
      <c r="AC78" s="20"/>
      <c r="AD78" s="20"/>
      <c r="AE78" s="27">
        <v>9</v>
      </c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 t="s">
        <v>1784</v>
      </c>
      <c r="AR78" s="20" t="s">
        <v>1784</v>
      </c>
      <c r="AS78" s="29">
        <v>1680</v>
      </c>
      <c r="AT78" s="63">
        <v>113</v>
      </c>
      <c r="AU78" s="27">
        <v>504</v>
      </c>
      <c r="AV78" s="20">
        <v>113</v>
      </c>
      <c r="AW78" s="20"/>
      <c r="AX78" s="20"/>
      <c r="AY78" s="20"/>
      <c r="AZ78" s="20"/>
      <c r="BA78" s="20"/>
      <c r="BB78" s="20"/>
      <c r="BC78" s="20"/>
      <c r="BD78" s="20"/>
      <c r="BE78" s="20">
        <v>135</v>
      </c>
      <c r="BF78" s="20"/>
      <c r="BG78" s="20">
        <v>156</v>
      </c>
      <c r="BH78" s="20"/>
      <c r="BI78" s="20"/>
      <c r="BJ78" s="20"/>
      <c r="BK78" s="20"/>
      <c r="BL78" s="20"/>
      <c r="BM78" s="20"/>
      <c r="BN78" s="20"/>
      <c r="BO78" s="27"/>
      <c r="BP78" s="20"/>
      <c r="BQ78" s="20"/>
      <c r="BR78" s="20"/>
      <c r="BS78" s="27"/>
      <c r="BT78" s="20"/>
      <c r="BU78" s="20">
        <v>216</v>
      </c>
      <c r="BV78" s="20"/>
      <c r="BW78" s="20"/>
      <c r="BX78" s="20"/>
      <c r="BY78" s="28">
        <v>1124</v>
      </c>
      <c r="BZ78" s="20"/>
      <c r="CA78" s="20"/>
      <c r="CB78" s="20"/>
      <c r="CC78" s="27"/>
      <c r="CD78" s="20"/>
      <c r="CE78" s="27">
        <v>96.8</v>
      </c>
      <c r="CF78" s="20"/>
      <c r="CG78" s="27">
        <v>13.26</v>
      </c>
      <c r="CH78" s="20"/>
      <c r="CI78" s="20"/>
      <c r="CJ78" s="20"/>
      <c r="CK78" s="20"/>
      <c r="CL78" s="20"/>
      <c r="CM78" s="27"/>
      <c r="CN78" s="20"/>
      <c r="CO78" s="20"/>
      <c r="CP78" s="20"/>
      <c r="CQ78" s="20"/>
      <c r="CR78" s="27"/>
      <c r="CS78" s="20"/>
      <c r="CT78" s="20"/>
      <c r="CU78" s="20"/>
      <c r="CV78" s="20"/>
      <c r="CW78" s="20"/>
      <c r="CX78" s="20"/>
      <c r="CY78" s="28">
        <v>110.06</v>
      </c>
      <c r="CZ78" s="27">
        <v>101.7</v>
      </c>
      <c r="DA78" s="27"/>
      <c r="DB78" s="27">
        <v>3.39</v>
      </c>
      <c r="DC78" s="27">
        <v>5.71</v>
      </c>
      <c r="DD78" s="20"/>
      <c r="DE78" s="27">
        <v>3.29</v>
      </c>
      <c r="DF78" s="28">
        <v>114.09</v>
      </c>
      <c r="DG78" s="28">
        <v>1013.94</v>
      </c>
    </row>
    <row r="79" spans="2:111" s="31" customFormat="1" ht="14.5" x14ac:dyDescent="0.35">
      <c r="B79" s="20">
        <v>71</v>
      </c>
      <c r="C79" s="20" t="s">
        <v>187</v>
      </c>
      <c r="D79" s="20" t="s">
        <v>105</v>
      </c>
      <c r="E79" s="20" t="s">
        <v>238</v>
      </c>
      <c r="F79" s="20" t="s">
        <v>532</v>
      </c>
      <c r="G79" s="20" t="s">
        <v>533</v>
      </c>
      <c r="H79" s="20" t="s">
        <v>534</v>
      </c>
      <c r="I79" s="20" t="s">
        <v>58</v>
      </c>
      <c r="J79" s="20" t="s">
        <v>238</v>
      </c>
      <c r="K79" s="20" t="s">
        <v>59</v>
      </c>
      <c r="L79" s="21">
        <v>28044</v>
      </c>
      <c r="M79" s="20" t="s">
        <v>345</v>
      </c>
      <c r="N79" s="20" t="s">
        <v>129</v>
      </c>
      <c r="O79" s="20" t="s">
        <v>60</v>
      </c>
      <c r="P79" s="20" t="s">
        <v>346</v>
      </c>
      <c r="Q79" s="20" t="s">
        <v>347</v>
      </c>
      <c r="R79" s="20" t="s">
        <v>783</v>
      </c>
      <c r="S79" s="20" t="s">
        <v>106</v>
      </c>
      <c r="T79" s="20" t="s">
        <v>65</v>
      </c>
      <c r="U79" s="20" t="s">
        <v>73</v>
      </c>
      <c r="V79" s="20" t="s">
        <v>826</v>
      </c>
      <c r="W79" s="20" t="s">
        <v>893</v>
      </c>
      <c r="X79" s="20" t="s">
        <v>945</v>
      </c>
      <c r="Y79" s="20" t="s">
        <v>65</v>
      </c>
      <c r="Z79" s="20" t="s">
        <v>1529</v>
      </c>
      <c r="AA79" s="20" t="s">
        <v>1596</v>
      </c>
      <c r="AB79" s="21">
        <v>45170</v>
      </c>
      <c r="AC79" s="20"/>
      <c r="AD79" s="20"/>
      <c r="AE79" s="27">
        <v>30</v>
      </c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>
        <v>1</v>
      </c>
      <c r="AQ79" s="20" t="s">
        <v>1784</v>
      </c>
      <c r="AR79" s="20" t="s">
        <v>1784</v>
      </c>
      <c r="AS79" s="29">
        <v>1802.5</v>
      </c>
      <c r="AT79" s="63">
        <v>113</v>
      </c>
      <c r="AU79" s="27">
        <v>1802.5</v>
      </c>
      <c r="AV79" s="20">
        <v>113</v>
      </c>
      <c r="AW79" s="20"/>
      <c r="AX79" s="20"/>
      <c r="AY79" s="20"/>
      <c r="AZ79" s="20"/>
      <c r="BA79" s="20"/>
      <c r="BB79" s="20"/>
      <c r="BC79" s="20"/>
      <c r="BD79" s="20"/>
      <c r="BE79" s="20">
        <v>450</v>
      </c>
      <c r="BF79" s="20"/>
      <c r="BG79" s="20">
        <v>520</v>
      </c>
      <c r="BH79" s="20"/>
      <c r="BI79" s="20"/>
      <c r="BJ79" s="20"/>
      <c r="BK79" s="20"/>
      <c r="BL79" s="20"/>
      <c r="BM79" s="20"/>
      <c r="BN79" s="20">
        <v>127.7</v>
      </c>
      <c r="BO79" s="27"/>
      <c r="BP79" s="20"/>
      <c r="BQ79" s="20"/>
      <c r="BR79" s="20"/>
      <c r="BS79" s="27">
        <v>48.03</v>
      </c>
      <c r="BT79" s="20"/>
      <c r="BU79" s="20"/>
      <c r="BV79" s="20"/>
      <c r="BW79" s="20"/>
      <c r="BX79" s="20"/>
      <c r="BY79" s="28">
        <v>3061.23</v>
      </c>
      <c r="BZ79" s="20"/>
      <c r="CA79" s="20"/>
      <c r="CB79" s="20"/>
      <c r="CC79" s="27">
        <v>40.57</v>
      </c>
      <c r="CD79" s="20"/>
      <c r="CE79" s="27">
        <v>249.32</v>
      </c>
      <c r="CF79" s="20">
        <v>42.14</v>
      </c>
      <c r="CG79" s="27">
        <v>34.159999999999997</v>
      </c>
      <c r="CH79" s="20"/>
      <c r="CI79" s="20"/>
      <c r="CJ79" s="20"/>
      <c r="CK79" s="20"/>
      <c r="CL79" s="20"/>
      <c r="CM79" s="27"/>
      <c r="CN79" s="20"/>
      <c r="CO79" s="20"/>
      <c r="CP79" s="20"/>
      <c r="CQ79" s="20"/>
      <c r="CR79" s="27">
        <v>48.03</v>
      </c>
      <c r="CS79" s="20"/>
      <c r="CT79" s="20"/>
      <c r="CU79" s="20"/>
      <c r="CV79" s="20"/>
      <c r="CW79" s="20"/>
      <c r="CX79" s="20"/>
      <c r="CY79" s="28">
        <v>414.22</v>
      </c>
      <c r="CZ79" s="27">
        <v>168.29</v>
      </c>
      <c r="DA79" s="27">
        <v>56.1</v>
      </c>
      <c r="DB79" s="27"/>
      <c r="DC79" s="27"/>
      <c r="DD79" s="20"/>
      <c r="DE79" s="27">
        <v>8.48</v>
      </c>
      <c r="DF79" s="28">
        <v>232.87</v>
      </c>
      <c r="DG79" s="28">
        <v>2647.01</v>
      </c>
    </row>
    <row r="80" spans="2:111" s="31" customFormat="1" ht="14.5" x14ac:dyDescent="0.35">
      <c r="B80" s="20">
        <v>84</v>
      </c>
      <c r="C80" s="20" t="s">
        <v>187</v>
      </c>
      <c r="D80" s="20" t="s">
        <v>105</v>
      </c>
      <c r="E80" s="20" t="s">
        <v>1729</v>
      </c>
      <c r="F80" s="20" t="s">
        <v>1730</v>
      </c>
      <c r="G80" s="20" t="s">
        <v>1731</v>
      </c>
      <c r="H80" s="20" t="s">
        <v>500</v>
      </c>
      <c r="I80" s="20" t="s">
        <v>58</v>
      </c>
      <c r="J80" s="20" t="s">
        <v>1729</v>
      </c>
      <c r="K80" s="20" t="s">
        <v>59</v>
      </c>
      <c r="L80" s="21">
        <v>33153</v>
      </c>
      <c r="M80" s="20" t="s">
        <v>345</v>
      </c>
      <c r="N80" s="20" t="s">
        <v>129</v>
      </c>
      <c r="O80" s="20" t="s">
        <v>60</v>
      </c>
      <c r="P80" s="20" t="s">
        <v>346</v>
      </c>
      <c r="Q80" s="20" t="s">
        <v>347</v>
      </c>
      <c r="R80" s="20" t="s">
        <v>783</v>
      </c>
      <c r="S80" s="20" t="s">
        <v>106</v>
      </c>
      <c r="T80" s="20" t="s">
        <v>65</v>
      </c>
      <c r="U80" s="20" t="s">
        <v>73</v>
      </c>
      <c r="V80" s="20" t="s">
        <v>1732</v>
      </c>
      <c r="W80" s="20" t="s">
        <v>893</v>
      </c>
      <c r="X80" s="20" t="s">
        <v>1733</v>
      </c>
      <c r="Y80" s="20"/>
      <c r="Z80" s="20"/>
      <c r="AA80" s="20"/>
      <c r="AB80" s="21">
        <v>45922</v>
      </c>
      <c r="AC80" s="20"/>
      <c r="AD80" s="20"/>
      <c r="AE80" s="27">
        <v>9</v>
      </c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 t="s">
        <v>1784</v>
      </c>
      <c r="AR80" s="20" t="s">
        <v>1784</v>
      </c>
      <c r="AS80" s="29">
        <v>1750</v>
      </c>
      <c r="AT80" s="63">
        <v>113</v>
      </c>
      <c r="AU80" s="27">
        <v>525</v>
      </c>
      <c r="AV80" s="20">
        <v>113</v>
      </c>
      <c r="AW80" s="20"/>
      <c r="AX80" s="20"/>
      <c r="AY80" s="20"/>
      <c r="AZ80" s="20"/>
      <c r="BA80" s="20"/>
      <c r="BB80" s="20"/>
      <c r="BC80" s="20"/>
      <c r="BD80" s="20"/>
      <c r="BE80" s="20">
        <v>135</v>
      </c>
      <c r="BF80" s="20"/>
      <c r="BG80" s="20">
        <v>156</v>
      </c>
      <c r="BH80" s="20"/>
      <c r="BI80" s="20"/>
      <c r="BJ80" s="20"/>
      <c r="BK80" s="20"/>
      <c r="BL80" s="20"/>
      <c r="BM80" s="20"/>
      <c r="BN80" s="20"/>
      <c r="BO80" s="27"/>
      <c r="BP80" s="20"/>
      <c r="BQ80" s="20"/>
      <c r="BR80" s="20"/>
      <c r="BS80" s="27"/>
      <c r="BT80" s="20"/>
      <c r="BU80" s="20">
        <v>225</v>
      </c>
      <c r="BV80" s="20"/>
      <c r="BW80" s="20"/>
      <c r="BX80" s="20"/>
      <c r="BY80" s="28">
        <v>1154</v>
      </c>
      <c r="BZ80" s="20"/>
      <c r="CA80" s="20"/>
      <c r="CB80" s="20"/>
      <c r="CC80" s="27"/>
      <c r="CD80" s="20"/>
      <c r="CE80" s="27">
        <v>99.8</v>
      </c>
      <c r="CF80" s="20">
        <v>16.87</v>
      </c>
      <c r="CG80" s="27">
        <v>13.67</v>
      </c>
      <c r="CH80" s="20"/>
      <c r="CI80" s="20"/>
      <c r="CJ80" s="20"/>
      <c r="CK80" s="20"/>
      <c r="CL80" s="20"/>
      <c r="CM80" s="27"/>
      <c r="CN80" s="20"/>
      <c r="CO80" s="20"/>
      <c r="CP80" s="20"/>
      <c r="CQ80" s="20"/>
      <c r="CR80" s="27"/>
      <c r="CS80" s="20"/>
      <c r="CT80" s="20"/>
      <c r="CU80" s="20"/>
      <c r="CV80" s="20"/>
      <c r="CW80" s="20"/>
      <c r="CX80" s="20"/>
      <c r="CY80" s="28">
        <v>130.34</v>
      </c>
      <c r="CZ80" s="27">
        <v>101.7</v>
      </c>
      <c r="DA80" s="27"/>
      <c r="DB80" s="27">
        <v>3.49</v>
      </c>
      <c r="DC80" s="27">
        <v>5.89</v>
      </c>
      <c r="DD80" s="20"/>
      <c r="DE80" s="27">
        <v>3.39</v>
      </c>
      <c r="DF80" s="28">
        <v>114.47</v>
      </c>
      <c r="DG80" s="28">
        <v>1023.66</v>
      </c>
    </row>
    <row r="81" spans="2:113" s="31" customFormat="1" ht="14.5" x14ac:dyDescent="0.35">
      <c r="B81" s="20">
        <v>75</v>
      </c>
      <c r="C81" s="20" t="s">
        <v>187</v>
      </c>
      <c r="D81" s="20" t="s">
        <v>126</v>
      </c>
      <c r="E81" s="20" t="s">
        <v>240</v>
      </c>
      <c r="F81" s="20" t="s">
        <v>538</v>
      </c>
      <c r="G81" s="20" t="s">
        <v>539</v>
      </c>
      <c r="H81" s="20" t="s">
        <v>452</v>
      </c>
      <c r="I81" s="20" t="s">
        <v>58</v>
      </c>
      <c r="J81" s="20" t="s">
        <v>240</v>
      </c>
      <c r="K81" s="20" t="s">
        <v>59</v>
      </c>
      <c r="L81" s="21">
        <v>27366</v>
      </c>
      <c r="M81" s="20" t="s">
        <v>540</v>
      </c>
      <c r="N81" s="20" t="s">
        <v>129</v>
      </c>
      <c r="O81" s="20" t="s">
        <v>67</v>
      </c>
      <c r="P81" s="20" t="s">
        <v>474</v>
      </c>
      <c r="Q81" s="20" t="s">
        <v>475</v>
      </c>
      <c r="R81" s="20" t="s">
        <v>779</v>
      </c>
      <c r="S81" s="20" t="s">
        <v>782</v>
      </c>
      <c r="T81" s="20" t="s">
        <v>65</v>
      </c>
      <c r="U81" s="20" t="s">
        <v>73</v>
      </c>
      <c r="V81" s="20" t="s">
        <v>828</v>
      </c>
      <c r="W81" s="20" t="s">
        <v>896</v>
      </c>
      <c r="X81" s="20" t="s">
        <v>947</v>
      </c>
      <c r="Y81" s="20" t="s">
        <v>65</v>
      </c>
      <c r="Z81" s="20" t="s">
        <v>1529</v>
      </c>
      <c r="AA81" s="20" t="s">
        <v>1599</v>
      </c>
      <c r="AB81" s="21">
        <v>45467</v>
      </c>
      <c r="AC81" s="20"/>
      <c r="AD81" s="20"/>
      <c r="AE81" s="27">
        <v>30</v>
      </c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 t="s">
        <v>1784</v>
      </c>
      <c r="AR81" s="20" t="s">
        <v>1784</v>
      </c>
      <c r="AS81" s="29">
        <v>49440.41</v>
      </c>
      <c r="AT81" s="63">
        <v>113</v>
      </c>
      <c r="AU81" s="27">
        <v>49440.41</v>
      </c>
      <c r="AV81" s="20">
        <v>113</v>
      </c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7">
        <v>162</v>
      </c>
      <c r="BP81" s="20"/>
      <c r="BQ81" s="20"/>
      <c r="BR81" s="20"/>
      <c r="BS81" s="27">
        <v>48.03</v>
      </c>
      <c r="BT81" s="20"/>
      <c r="BU81" s="20"/>
      <c r="BV81" s="20"/>
      <c r="BW81" s="20"/>
      <c r="BX81" s="20"/>
      <c r="BY81" s="28">
        <v>49763.44</v>
      </c>
      <c r="BZ81" s="20"/>
      <c r="CA81" s="20"/>
      <c r="CB81" s="20"/>
      <c r="CC81" s="27">
        <v>13799.52</v>
      </c>
      <c r="CD81" s="20"/>
      <c r="CE81" s="27">
        <v>4971.54</v>
      </c>
      <c r="CF81" s="20"/>
      <c r="CG81" s="27">
        <v>166.93</v>
      </c>
      <c r="CH81" s="20"/>
      <c r="CI81" s="20"/>
      <c r="CJ81" s="20"/>
      <c r="CK81" s="20"/>
      <c r="CL81" s="20"/>
      <c r="CM81" s="27">
        <v>162</v>
      </c>
      <c r="CN81" s="20"/>
      <c r="CO81" s="20"/>
      <c r="CP81" s="20"/>
      <c r="CQ81" s="20"/>
      <c r="CR81" s="27">
        <v>48.03</v>
      </c>
      <c r="CS81" s="20">
        <v>75.430000000000007</v>
      </c>
      <c r="CT81" s="20"/>
      <c r="CU81" s="20"/>
      <c r="CV81" s="20"/>
      <c r="CW81" s="20"/>
      <c r="CX81" s="20"/>
      <c r="CY81" s="28">
        <v>19223.45</v>
      </c>
      <c r="CZ81" s="27">
        <v>3355.79</v>
      </c>
      <c r="DA81" s="27">
        <v>1118.5999999999999</v>
      </c>
      <c r="DB81" s="27">
        <v>42.65</v>
      </c>
      <c r="DC81" s="27">
        <v>293.32</v>
      </c>
      <c r="DD81" s="20"/>
      <c r="DE81" s="27">
        <v>41.43</v>
      </c>
      <c r="DF81" s="28">
        <v>4851.79</v>
      </c>
      <c r="DG81" s="28">
        <v>30539.99</v>
      </c>
    </row>
    <row r="82" spans="2:113" s="31" customFormat="1" ht="14.5" x14ac:dyDescent="0.35">
      <c r="B82" s="20">
        <v>76</v>
      </c>
      <c r="C82" s="20" t="s">
        <v>187</v>
      </c>
      <c r="D82" s="20" t="s">
        <v>105</v>
      </c>
      <c r="E82" s="20" t="s">
        <v>98</v>
      </c>
      <c r="F82" s="20" t="s">
        <v>99</v>
      </c>
      <c r="G82" s="20" t="s">
        <v>86</v>
      </c>
      <c r="H82" s="20" t="s">
        <v>100</v>
      </c>
      <c r="I82" s="20" t="s">
        <v>58</v>
      </c>
      <c r="J82" s="20" t="s">
        <v>98</v>
      </c>
      <c r="K82" s="20" t="s">
        <v>59</v>
      </c>
      <c r="L82" s="21">
        <v>37125</v>
      </c>
      <c r="M82" s="20" t="s">
        <v>1467</v>
      </c>
      <c r="N82" s="20" t="s">
        <v>129</v>
      </c>
      <c r="O82" s="20" t="s">
        <v>82</v>
      </c>
      <c r="P82" s="20" t="s">
        <v>87</v>
      </c>
      <c r="Q82" s="20" t="s">
        <v>88</v>
      </c>
      <c r="R82" s="20" t="s">
        <v>783</v>
      </c>
      <c r="S82" s="20" t="s">
        <v>787</v>
      </c>
      <c r="T82" s="20" t="s">
        <v>63</v>
      </c>
      <c r="U82" s="20" t="s">
        <v>64</v>
      </c>
      <c r="V82" s="20" t="s">
        <v>101</v>
      </c>
      <c r="W82" s="20" t="s">
        <v>893</v>
      </c>
      <c r="X82" s="20" t="s">
        <v>1468</v>
      </c>
      <c r="Y82" s="20"/>
      <c r="Z82" s="20"/>
      <c r="AA82" s="20"/>
      <c r="AB82" s="21">
        <v>45870</v>
      </c>
      <c r="AC82" s="20"/>
      <c r="AD82" s="20"/>
      <c r="AE82" s="27">
        <v>30</v>
      </c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 t="s">
        <v>1784</v>
      </c>
      <c r="AR82" s="20" t="s">
        <v>1784</v>
      </c>
      <c r="AS82" s="29">
        <v>3200</v>
      </c>
      <c r="AT82" s="63"/>
      <c r="AU82" s="27">
        <v>3200</v>
      </c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7"/>
      <c r="BP82" s="20"/>
      <c r="BQ82" s="20"/>
      <c r="BR82" s="20"/>
      <c r="BS82" s="27">
        <v>48.03</v>
      </c>
      <c r="BT82" s="20"/>
      <c r="BU82" s="20"/>
      <c r="BV82" s="20"/>
      <c r="BW82" s="20"/>
      <c r="BX82" s="20"/>
      <c r="BY82" s="28">
        <v>3248.03</v>
      </c>
      <c r="BZ82" s="20"/>
      <c r="CA82" s="20"/>
      <c r="CB82" s="20"/>
      <c r="CC82" s="27"/>
      <c r="CD82" s="20"/>
      <c r="CE82" s="27">
        <v>320</v>
      </c>
      <c r="CF82" s="20"/>
      <c r="CG82" s="27">
        <v>43.84</v>
      </c>
      <c r="CH82" s="20"/>
      <c r="CI82" s="20"/>
      <c r="CJ82" s="20"/>
      <c r="CK82" s="20"/>
      <c r="CL82" s="20"/>
      <c r="CM82" s="27"/>
      <c r="CN82" s="20"/>
      <c r="CO82" s="20"/>
      <c r="CP82" s="20"/>
      <c r="CQ82" s="20"/>
      <c r="CR82" s="27">
        <v>48.03</v>
      </c>
      <c r="CS82" s="20"/>
      <c r="CT82" s="20"/>
      <c r="CU82" s="20"/>
      <c r="CV82" s="20"/>
      <c r="CW82" s="20"/>
      <c r="CX82" s="20"/>
      <c r="CY82" s="28">
        <v>411.87</v>
      </c>
      <c r="CZ82" s="27">
        <v>216</v>
      </c>
      <c r="DA82" s="27">
        <v>72</v>
      </c>
      <c r="DB82" s="27">
        <v>11.2</v>
      </c>
      <c r="DC82" s="27">
        <v>18.88</v>
      </c>
      <c r="DD82" s="20"/>
      <c r="DE82" s="27">
        <v>10.88</v>
      </c>
      <c r="DF82" s="28">
        <v>328.96</v>
      </c>
      <c r="DG82" s="28">
        <v>2836.16</v>
      </c>
      <c r="DI82" s="76"/>
    </row>
    <row r="83" spans="2:113" s="31" customFormat="1" ht="14.5" x14ac:dyDescent="0.35">
      <c r="B83" s="20">
        <v>77</v>
      </c>
      <c r="C83" s="20" t="s">
        <v>187</v>
      </c>
      <c r="D83" s="20" t="s">
        <v>153</v>
      </c>
      <c r="E83" s="20" t="s">
        <v>1469</v>
      </c>
      <c r="F83" s="20" t="s">
        <v>1470</v>
      </c>
      <c r="G83" s="20" t="s">
        <v>1471</v>
      </c>
      <c r="H83" s="20" t="s">
        <v>1472</v>
      </c>
      <c r="I83" s="20" t="s">
        <v>470</v>
      </c>
      <c r="J83" s="20" t="s">
        <v>1469</v>
      </c>
      <c r="K83" s="20" t="s">
        <v>59</v>
      </c>
      <c r="L83" s="21">
        <v>32696</v>
      </c>
      <c r="M83" s="20" t="s">
        <v>1473</v>
      </c>
      <c r="N83" s="20" t="s">
        <v>129</v>
      </c>
      <c r="O83" s="20" t="s">
        <v>558</v>
      </c>
      <c r="P83" s="20" t="s">
        <v>559</v>
      </c>
      <c r="Q83" s="20" t="s">
        <v>560</v>
      </c>
      <c r="R83" s="20" t="s">
        <v>783</v>
      </c>
      <c r="S83" s="20" t="s">
        <v>782</v>
      </c>
      <c r="T83" s="20" t="s">
        <v>65</v>
      </c>
      <c r="U83" s="20" t="s">
        <v>73</v>
      </c>
      <c r="V83" s="20" t="s">
        <v>1600</v>
      </c>
      <c r="W83" s="20" t="s">
        <v>893</v>
      </c>
      <c r="X83" s="20" t="s">
        <v>1601</v>
      </c>
      <c r="Y83" s="20"/>
      <c r="Z83" s="20"/>
      <c r="AA83" s="20"/>
      <c r="AB83" s="21">
        <v>45870</v>
      </c>
      <c r="AC83" s="20"/>
      <c r="AD83" s="20"/>
      <c r="AE83" s="27">
        <v>28</v>
      </c>
      <c r="AF83" s="20"/>
      <c r="AG83" s="20">
        <v>2</v>
      </c>
      <c r="AH83" s="20"/>
      <c r="AI83" s="20"/>
      <c r="AJ83" s="20"/>
      <c r="AK83" s="20"/>
      <c r="AL83" s="20"/>
      <c r="AM83" s="20"/>
      <c r="AN83" s="20"/>
      <c r="AO83" s="20"/>
      <c r="AP83" s="20"/>
      <c r="AQ83" s="20" t="s">
        <v>1784</v>
      </c>
      <c r="AR83" s="20" t="s">
        <v>1784</v>
      </c>
      <c r="AS83" s="29">
        <v>45215.47</v>
      </c>
      <c r="AT83" s="63">
        <v>113</v>
      </c>
      <c r="AU83" s="27">
        <v>42201.11</v>
      </c>
      <c r="AV83" s="20">
        <v>113</v>
      </c>
      <c r="AW83" s="20"/>
      <c r="AX83" s="20"/>
      <c r="AY83" s="20"/>
      <c r="AZ83" s="20">
        <v>3014.36</v>
      </c>
      <c r="BA83" s="20"/>
      <c r="BB83" s="20"/>
      <c r="BC83" s="20"/>
      <c r="BD83" s="20">
        <v>15236.79</v>
      </c>
      <c r="BE83" s="20"/>
      <c r="BF83" s="20"/>
      <c r="BG83" s="20"/>
      <c r="BH83" s="20"/>
      <c r="BI83" s="20">
        <v>13560.22</v>
      </c>
      <c r="BJ83" s="75">
        <v>32532.078300000001</v>
      </c>
      <c r="BK83" s="20">
        <v>1371.31</v>
      </c>
      <c r="BL83" s="20"/>
      <c r="BM83" s="20">
        <v>8888.1299999999992</v>
      </c>
      <c r="BN83" s="20"/>
      <c r="BO83" s="27"/>
      <c r="BP83" s="20"/>
      <c r="BQ83" s="20"/>
      <c r="BR83" s="20"/>
      <c r="BS83" s="27">
        <v>48.03</v>
      </c>
      <c r="BT83" s="20"/>
      <c r="BU83" s="20"/>
      <c r="BV83" s="20"/>
      <c r="BW83" s="20"/>
      <c r="BX83" s="20"/>
      <c r="BY83" s="28">
        <v>116965.02830000001</v>
      </c>
      <c r="BZ83" s="20"/>
      <c r="CA83" s="20"/>
      <c r="CB83" s="20"/>
      <c r="CC83" s="27">
        <v>32423.07</v>
      </c>
      <c r="CD83" s="20"/>
      <c r="CE83" s="27">
        <v>7786.05</v>
      </c>
      <c r="CF83" s="20"/>
      <c r="CG83" s="27">
        <v>166.93</v>
      </c>
      <c r="CH83" s="20"/>
      <c r="CI83" s="20"/>
      <c r="CJ83" s="20"/>
      <c r="CK83" s="20"/>
      <c r="CL83" s="20"/>
      <c r="CM83" s="27"/>
      <c r="CN83" s="20">
        <v>45545.7</v>
      </c>
      <c r="CO83" s="20"/>
      <c r="CP83" s="20"/>
      <c r="CQ83" s="20"/>
      <c r="CR83" s="27">
        <v>48.03</v>
      </c>
      <c r="CS83" s="20"/>
      <c r="CT83" s="20">
        <v>7125.95</v>
      </c>
      <c r="CU83" s="20">
        <v>13560.22</v>
      </c>
      <c r="CV83" s="20"/>
      <c r="CW83" s="20"/>
      <c r="CX83" s="20"/>
      <c r="CY83" s="28">
        <v>106655.95</v>
      </c>
      <c r="CZ83" s="27">
        <v>8227.8700000000008</v>
      </c>
      <c r="DA83" s="27"/>
      <c r="DB83" s="27">
        <v>42.65</v>
      </c>
      <c r="DC83" s="27">
        <v>549.27</v>
      </c>
      <c r="DD83" s="20"/>
      <c r="DE83" s="27">
        <v>41.43</v>
      </c>
      <c r="DF83" s="28">
        <v>8861.2199999999993</v>
      </c>
      <c r="DG83" s="28">
        <v>10309.078299999999</v>
      </c>
    </row>
    <row r="84" spans="2:113" s="31" customFormat="1" ht="14.5" x14ac:dyDescent="0.35">
      <c r="B84" s="20">
        <v>104</v>
      </c>
      <c r="C84" s="20" t="s">
        <v>187</v>
      </c>
      <c r="D84" s="20" t="s">
        <v>109</v>
      </c>
      <c r="E84" s="20" t="s">
        <v>259</v>
      </c>
      <c r="F84" s="20" t="s">
        <v>601</v>
      </c>
      <c r="G84" s="20" t="s">
        <v>120</v>
      </c>
      <c r="H84" s="20" t="s">
        <v>602</v>
      </c>
      <c r="I84" s="20" t="s">
        <v>58</v>
      </c>
      <c r="J84" s="20" t="s">
        <v>259</v>
      </c>
      <c r="K84" s="20" t="s">
        <v>59</v>
      </c>
      <c r="L84" s="21">
        <v>31011</v>
      </c>
      <c r="M84" s="20" t="s">
        <v>419</v>
      </c>
      <c r="N84" s="20" t="s">
        <v>327</v>
      </c>
      <c r="O84" s="20" t="s">
        <v>67</v>
      </c>
      <c r="P84" s="20" t="s">
        <v>1051</v>
      </c>
      <c r="Q84" s="20" t="s">
        <v>1052</v>
      </c>
      <c r="R84" s="20" t="s">
        <v>779</v>
      </c>
      <c r="S84" s="20" t="s">
        <v>780</v>
      </c>
      <c r="T84" s="20" t="s">
        <v>138</v>
      </c>
      <c r="U84" s="20" t="s">
        <v>64</v>
      </c>
      <c r="V84" s="20" t="s">
        <v>844</v>
      </c>
      <c r="W84" s="20" t="s">
        <v>893</v>
      </c>
      <c r="X84" s="20" t="s">
        <v>964</v>
      </c>
      <c r="Y84" s="20" t="s">
        <v>138</v>
      </c>
      <c r="Z84" s="20" t="s">
        <v>1529</v>
      </c>
      <c r="AA84" s="20" t="s">
        <v>1623</v>
      </c>
      <c r="AB84" s="21">
        <v>44236</v>
      </c>
      <c r="AC84" s="20"/>
      <c r="AD84" s="20"/>
      <c r="AE84" s="27">
        <v>26</v>
      </c>
      <c r="AF84" s="20"/>
      <c r="AG84" s="20"/>
      <c r="AH84" s="20"/>
      <c r="AI84" s="20"/>
      <c r="AJ84" s="20">
        <v>4</v>
      </c>
      <c r="AK84" s="20"/>
      <c r="AL84" s="20"/>
      <c r="AM84" s="20"/>
      <c r="AN84" s="20"/>
      <c r="AO84" s="20"/>
      <c r="AP84" s="20"/>
      <c r="AQ84" s="20">
        <v>26</v>
      </c>
      <c r="AR84" s="20">
        <v>16</v>
      </c>
      <c r="AS84" s="29">
        <v>3296</v>
      </c>
      <c r="AT84" s="63">
        <v>150</v>
      </c>
      <c r="AU84" s="27">
        <v>2856.53</v>
      </c>
      <c r="AV84" s="20">
        <v>150</v>
      </c>
      <c r="AW84" s="20"/>
      <c r="AX84" s="20"/>
      <c r="AY84" s="20"/>
      <c r="AZ84" s="20"/>
      <c r="BA84" s="20"/>
      <c r="BB84" s="20">
        <v>439.48</v>
      </c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7">
        <v>228.5</v>
      </c>
      <c r="BP84" s="20">
        <v>4300</v>
      </c>
      <c r="BQ84" s="20"/>
      <c r="BR84" s="20"/>
      <c r="BS84" s="27">
        <v>144.1</v>
      </c>
      <c r="BT84" s="20"/>
      <c r="BU84" s="20"/>
      <c r="BV84" s="20">
        <v>120.85</v>
      </c>
      <c r="BW84" s="20">
        <v>53.56</v>
      </c>
      <c r="BX84" s="20"/>
      <c r="BY84" s="28">
        <v>8293.02</v>
      </c>
      <c r="BZ84" s="20"/>
      <c r="CA84" s="20">
        <v>1318.4</v>
      </c>
      <c r="CB84" s="20"/>
      <c r="CC84" s="27">
        <v>736.06</v>
      </c>
      <c r="CD84" s="20"/>
      <c r="CE84" s="27">
        <v>384.89</v>
      </c>
      <c r="CF84" s="20">
        <v>65.05</v>
      </c>
      <c r="CG84" s="27">
        <v>52.73</v>
      </c>
      <c r="CH84" s="20"/>
      <c r="CI84" s="20"/>
      <c r="CJ84" s="20"/>
      <c r="CK84" s="20"/>
      <c r="CL84" s="20"/>
      <c r="CM84" s="27">
        <v>228.5</v>
      </c>
      <c r="CN84" s="20"/>
      <c r="CO84" s="20">
        <v>4300</v>
      </c>
      <c r="CP84" s="20"/>
      <c r="CQ84" s="20"/>
      <c r="CR84" s="27">
        <v>144.1</v>
      </c>
      <c r="CS84" s="20"/>
      <c r="CT84" s="20"/>
      <c r="CU84" s="20"/>
      <c r="CV84" s="20"/>
      <c r="CW84" s="20"/>
      <c r="CX84" s="20"/>
      <c r="CY84" s="28">
        <v>7229.73</v>
      </c>
      <c r="CZ84" s="27">
        <v>259.8</v>
      </c>
      <c r="DA84" s="27">
        <v>86.6</v>
      </c>
      <c r="DB84" s="27">
        <v>13.47</v>
      </c>
      <c r="DC84" s="27">
        <v>22.71</v>
      </c>
      <c r="DD84" s="20">
        <v>28.87</v>
      </c>
      <c r="DE84" s="27">
        <v>13.09</v>
      </c>
      <c r="DF84" s="28">
        <v>424.54</v>
      </c>
      <c r="DG84" s="28">
        <v>1063.29</v>
      </c>
    </row>
    <row r="85" spans="2:113" s="33" customFormat="1" ht="14.5" x14ac:dyDescent="0.35">
      <c r="B85" s="20">
        <v>115</v>
      </c>
      <c r="C85" s="20" t="s">
        <v>187</v>
      </c>
      <c r="D85" s="20" t="s">
        <v>105</v>
      </c>
      <c r="E85" s="20" t="s">
        <v>268</v>
      </c>
      <c r="F85" s="20" t="s">
        <v>411</v>
      </c>
      <c r="G85" s="20" t="s">
        <v>631</v>
      </c>
      <c r="H85" s="20" t="s">
        <v>632</v>
      </c>
      <c r="I85" s="20" t="s">
        <v>58</v>
      </c>
      <c r="J85" s="20" t="s">
        <v>268</v>
      </c>
      <c r="K85" s="20" t="s">
        <v>59</v>
      </c>
      <c r="L85" s="21">
        <v>27457</v>
      </c>
      <c r="M85" s="20" t="s">
        <v>345</v>
      </c>
      <c r="N85" s="20" t="s">
        <v>129</v>
      </c>
      <c r="O85" s="20" t="s">
        <v>60</v>
      </c>
      <c r="P85" s="20" t="s">
        <v>346</v>
      </c>
      <c r="Q85" s="20" t="s">
        <v>347</v>
      </c>
      <c r="R85" s="20" t="s">
        <v>783</v>
      </c>
      <c r="S85" s="20" t="s">
        <v>106</v>
      </c>
      <c r="T85" s="20" t="s">
        <v>63</v>
      </c>
      <c r="U85" s="20" t="s">
        <v>64</v>
      </c>
      <c r="V85" s="20" t="s">
        <v>852</v>
      </c>
      <c r="W85" s="20" t="s">
        <v>893</v>
      </c>
      <c r="X85" s="20" t="s">
        <v>973</v>
      </c>
      <c r="Y85" s="20" t="s">
        <v>1560</v>
      </c>
      <c r="Z85" s="20" t="s">
        <v>1529</v>
      </c>
      <c r="AA85" s="20" t="s">
        <v>1634</v>
      </c>
      <c r="AB85" s="21">
        <v>45069</v>
      </c>
      <c r="AC85" s="20"/>
      <c r="AD85" s="20"/>
      <c r="AE85" s="27">
        <v>29</v>
      </c>
      <c r="AF85" s="20"/>
      <c r="AG85" s="20">
        <v>1</v>
      </c>
      <c r="AH85" s="20"/>
      <c r="AI85" s="20"/>
      <c r="AJ85" s="20"/>
      <c r="AK85" s="20"/>
      <c r="AL85" s="20"/>
      <c r="AM85" s="20"/>
      <c r="AN85" s="20"/>
      <c r="AO85" s="20"/>
      <c r="AP85" s="20"/>
      <c r="AQ85" s="20" t="s">
        <v>1784</v>
      </c>
      <c r="AR85" s="20" t="s">
        <v>1784</v>
      </c>
      <c r="AS85" s="29">
        <v>1874.6</v>
      </c>
      <c r="AT85" s="63">
        <v>113</v>
      </c>
      <c r="AU85" s="27">
        <v>1812.11</v>
      </c>
      <c r="AV85" s="20">
        <v>113</v>
      </c>
      <c r="AW85" s="20"/>
      <c r="AX85" s="20"/>
      <c r="AY85" s="20"/>
      <c r="AZ85" s="20">
        <v>99.81</v>
      </c>
      <c r="BA85" s="20"/>
      <c r="BB85" s="20"/>
      <c r="BC85" s="20"/>
      <c r="BD85" s="20"/>
      <c r="BE85" s="20">
        <v>450</v>
      </c>
      <c r="BF85" s="20"/>
      <c r="BG85" s="20">
        <v>520</v>
      </c>
      <c r="BH85" s="20"/>
      <c r="BI85" s="20"/>
      <c r="BJ85" s="20"/>
      <c r="BK85" s="20"/>
      <c r="BL85" s="20"/>
      <c r="BM85" s="20"/>
      <c r="BN85" s="20"/>
      <c r="BO85" s="27"/>
      <c r="BP85" s="20"/>
      <c r="BQ85" s="20"/>
      <c r="BR85" s="20"/>
      <c r="BS85" s="27">
        <v>48.03</v>
      </c>
      <c r="BT85" s="20"/>
      <c r="BU85" s="20"/>
      <c r="BV85" s="20"/>
      <c r="BW85" s="20"/>
      <c r="BX85" s="20"/>
      <c r="BY85" s="28">
        <v>3042.95</v>
      </c>
      <c r="BZ85" s="20"/>
      <c r="CA85" s="20"/>
      <c r="CB85" s="20"/>
      <c r="CC85" s="27">
        <v>46.57</v>
      </c>
      <c r="CD85" s="20"/>
      <c r="CE85" s="27">
        <v>247.49</v>
      </c>
      <c r="CF85" s="20">
        <v>41.83</v>
      </c>
      <c r="CG85" s="27">
        <v>33.909999999999997</v>
      </c>
      <c r="CH85" s="20"/>
      <c r="CI85" s="20"/>
      <c r="CJ85" s="20"/>
      <c r="CK85" s="20"/>
      <c r="CL85" s="20"/>
      <c r="CM85" s="27"/>
      <c r="CN85" s="20"/>
      <c r="CO85" s="20"/>
      <c r="CP85" s="20"/>
      <c r="CQ85" s="20"/>
      <c r="CR85" s="27">
        <v>48.03</v>
      </c>
      <c r="CS85" s="20"/>
      <c r="CT85" s="20"/>
      <c r="CU85" s="20"/>
      <c r="CV85" s="20"/>
      <c r="CW85" s="20"/>
      <c r="CX85" s="20"/>
      <c r="CY85" s="28">
        <v>417.83</v>
      </c>
      <c r="CZ85" s="27">
        <v>167.06</v>
      </c>
      <c r="DA85" s="27">
        <v>55.69</v>
      </c>
      <c r="DB85" s="27">
        <v>8.66</v>
      </c>
      <c r="DC85" s="27">
        <v>14.6</v>
      </c>
      <c r="DD85" s="20"/>
      <c r="DE85" s="27">
        <v>8.41</v>
      </c>
      <c r="DF85" s="28">
        <v>254.42</v>
      </c>
      <c r="DG85" s="28">
        <v>2625.12</v>
      </c>
    </row>
    <row r="86" spans="2:113" s="31" customFormat="1" ht="14.5" x14ac:dyDescent="0.35">
      <c r="B86" s="20">
        <v>80</v>
      </c>
      <c r="C86" s="20" t="s">
        <v>187</v>
      </c>
      <c r="D86" s="20" t="s">
        <v>105</v>
      </c>
      <c r="E86" s="20" t="s">
        <v>242</v>
      </c>
      <c r="F86" s="20" t="s">
        <v>545</v>
      </c>
      <c r="G86" s="20" t="s">
        <v>549</v>
      </c>
      <c r="H86" s="20" t="s">
        <v>550</v>
      </c>
      <c r="I86" s="20" t="s">
        <v>58</v>
      </c>
      <c r="J86" s="20" t="s">
        <v>242</v>
      </c>
      <c r="K86" s="20" t="s">
        <v>66</v>
      </c>
      <c r="L86" s="21">
        <v>34598</v>
      </c>
      <c r="M86" s="20" t="s">
        <v>1102</v>
      </c>
      <c r="N86" s="20" t="s">
        <v>129</v>
      </c>
      <c r="O86" s="20" t="s">
        <v>522</v>
      </c>
      <c r="P86" s="20" t="s">
        <v>523</v>
      </c>
      <c r="Q86" s="20" t="s">
        <v>524</v>
      </c>
      <c r="R86" s="20" t="s">
        <v>779</v>
      </c>
      <c r="S86" s="20" t="s">
        <v>782</v>
      </c>
      <c r="T86" s="20" t="s">
        <v>63</v>
      </c>
      <c r="U86" s="20" t="s">
        <v>64</v>
      </c>
      <c r="V86" s="20" t="s">
        <v>830</v>
      </c>
      <c r="W86" s="20" t="s">
        <v>898</v>
      </c>
      <c r="X86" s="20" t="s">
        <v>949</v>
      </c>
      <c r="Y86" s="20" t="s">
        <v>63</v>
      </c>
      <c r="Z86" s="20" t="s">
        <v>1529</v>
      </c>
      <c r="AA86" s="20" t="s">
        <v>1604</v>
      </c>
      <c r="AB86" s="21">
        <v>44053</v>
      </c>
      <c r="AC86" s="20"/>
      <c r="AD86" s="20"/>
      <c r="AE86" s="27">
        <v>30</v>
      </c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 t="s">
        <v>1784</v>
      </c>
      <c r="AR86" s="20" t="s">
        <v>1784</v>
      </c>
      <c r="AS86" s="29">
        <v>15111</v>
      </c>
      <c r="AT86" s="63"/>
      <c r="AU86" s="27">
        <v>15111</v>
      </c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7"/>
      <c r="BP86" s="20"/>
      <c r="BQ86" s="20"/>
      <c r="BR86" s="20"/>
      <c r="BS86" s="27">
        <v>48.03</v>
      </c>
      <c r="BT86" s="20">
        <v>100</v>
      </c>
      <c r="BU86" s="20"/>
      <c r="BV86" s="20"/>
      <c r="BW86" s="20"/>
      <c r="BX86" s="20"/>
      <c r="BY86" s="28">
        <v>15259.03</v>
      </c>
      <c r="BZ86" s="20"/>
      <c r="CA86" s="20"/>
      <c r="CB86" s="20"/>
      <c r="CC86" s="27">
        <v>2119.36</v>
      </c>
      <c r="CD86" s="20"/>
      <c r="CE86" s="27">
        <v>1511.1</v>
      </c>
      <c r="CF86" s="20"/>
      <c r="CG86" s="27">
        <v>166.93</v>
      </c>
      <c r="CH86" s="20"/>
      <c r="CI86" s="20">
        <v>260.45</v>
      </c>
      <c r="CJ86" s="20"/>
      <c r="CK86" s="20"/>
      <c r="CL86" s="20"/>
      <c r="CM86" s="27"/>
      <c r="CN86" s="20"/>
      <c r="CO86" s="20"/>
      <c r="CP86" s="20"/>
      <c r="CQ86" s="20"/>
      <c r="CR86" s="27">
        <v>48.03</v>
      </c>
      <c r="CS86" s="20">
        <v>19.5</v>
      </c>
      <c r="CT86" s="20"/>
      <c r="CU86" s="20"/>
      <c r="CV86" s="20">
        <v>100</v>
      </c>
      <c r="CW86" s="20"/>
      <c r="CX86" s="20"/>
      <c r="CY86" s="28">
        <v>4225.37</v>
      </c>
      <c r="CZ86" s="27">
        <v>1019.99</v>
      </c>
      <c r="DA86" s="27">
        <v>340</v>
      </c>
      <c r="DB86" s="27">
        <v>42.65</v>
      </c>
      <c r="DC86" s="27">
        <v>89.15</v>
      </c>
      <c r="DD86" s="20"/>
      <c r="DE86" s="27">
        <v>41.43</v>
      </c>
      <c r="DF86" s="28">
        <v>1533.22</v>
      </c>
      <c r="DG86" s="28">
        <v>11033.66</v>
      </c>
    </row>
    <row r="87" spans="2:113" s="31" customFormat="1" ht="14.5" x14ac:dyDescent="0.35">
      <c r="B87" s="20">
        <v>112</v>
      </c>
      <c r="C87" s="20" t="s">
        <v>187</v>
      </c>
      <c r="D87" s="20" t="s">
        <v>109</v>
      </c>
      <c r="E87" s="20" t="s">
        <v>182</v>
      </c>
      <c r="F87" s="20" t="s">
        <v>112</v>
      </c>
      <c r="G87" s="20" t="s">
        <v>183</v>
      </c>
      <c r="H87" s="20" t="s">
        <v>184</v>
      </c>
      <c r="I87" s="20" t="s">
        <v>58</v>
      </c>
      <c r="J87" s="20" t="s">
        <v>182</v>
      </c>
      <c r="K87" s="20" t="s">
        <v>59</v>
      </c>
      <c r="L87" s="21">
        <v>37192</v>
      </c>
      <c r="M87" s="20" t="s">
        <v>419</v>
      </c>
      <c r="N87" s="20" t="s">
        <v>129</v>
      </c>
      <c r="O87" s="20" t="s">
        <v>67</v>
      </c>
      <c r="P87" s="20" t="s">
        <v>1051</v>
      </c>
      <c r="Q87" s="20" t="s">
        <v>1052</v>
      </c>
      <c r="R87" s="20" t="s">
        <v>783</v>
      </c>
      <c r="S87" s="20" t="s">
        <v>780</v>
      </c>
      <c r="T87" s="20" t="s">
        <v>63</v>
      </c>
      <c r="U87" s="20" t="s">
        <v>64</v>
      </c>
      <c r="V87" s="20" t="s">
        <v>185</v>
      </c>
      <c r="W87" s="20" t="s">
        <v>893</v>
      </c>
      <c r="X87" s="20" t="s">
        <v>1371</v>
      </c>
      <c r="Y87" s="20"/>
      <c r="Z87" s="20"/>
      <c r="AA87" s="20"/>
      <c r="AB87" s="21">
        <v>45824</v>
      </c>
      <c r="AC87" s="20"/>
      <c r="AD87" s="20"/>
      <c r="AE87" s="27">
        <v>30</v>
      </c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>
        <v>44</v>
      </c>
      <c r="AR87" s="20">
        <v>33</v>
      </c>
      <c r="AS87" s="29">
        <v>2100</v>
      </c>
      <c r="AT87" s="63"/>
      <c r="AU87" s="27">
        <v>2100</v>
      </c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7">
        <v>362.2</v>
      </c>
      <c r="BP87" s="20"/>
      <c r="BQ87" s="20"/>
      <c r="BR87" s="20"/>
      <c r="BS87" s="27">
        <v>96.07</v>
      </c>
      <c r="BT87" s="20"/>
      <c r="BU87" s="20"/>
      <c r="BV87" s="20">
        <v>158.81</v>
      </c>
      <c r="BW87" s="20">
        <v>57.75</v>
      </c>
      <c r="BX87" s="20"/>
      <c r="BY87" s="28">
        <v>2774.83</v>
      </c>
      <c r="BZ87" s="20"/>
      <c r="CA87" s="20">
        <v>840</v>
      </c>
      <c r="CB87" s="20"/>
      <c r="CC87" s="27"/>
      <c r="CD87" s="20"/>
      <c r="CE87" s="27">
        <v>267.88</v>
      </c>
      <c r="CF87" s="20"/>
      <c r="CG87" s="27">
        <v>36.700000000000003</v>
      </c>
      <c r="CH87" s="20"/>
      <c r="CI87" s="20"/>
      <c r="CJ87" s="20"/>
      <c r="CK87" s="20"/>
      <c r="CL87" s="20"/>
      <c r="CM87" s="27">
        <v>362.2</v>
      </c>
      <c r="CN87" s="20"/>
      <c r="CO87" s="20"/>
      <c r="CP87" s="20"/>
      <c r="CQ87" s="20"/>
      <c r="CR87" s="27">
        <v>96.07</v>
      </c>
      <c r="CS87" s="20"/>
      <c r="CT87" s="20"/>
      <c r="CU87" s="20"/>
      <c r="CV87" s="20"/>
      <c r="CW87" s="20"/>
      <c r="CX87" s="20"/>
      <c r="CY87" s="28">
        <v>1602.85</v>
      </c>
      <c r="CZ87" s="27">
        <v>241.09</v>
      </c>
      <c r="DA87" s="27"/>
      <c r="DB87" s="27">
        <v>9.3800000000000008</v>
      </c>
      <c r="DC87" s="27">
        <v>15.8</v>
      </c>
      <c r="DD87" s="20">
        <v>20.09</v>
      </c>
      <c r="DE87" s="27">
        <v>9.11</v>
      </c>
      <c r="DF87" s="28">
        <v>295.47000000000003</v>
      </c>
      <c r="DG87" s="28">
        <v>1171.98</v>
      </c>
    </row>
    <row r="88" spans="2:113" s="31" customFormat="1" ht="14.5" x14ac:dyDescent="0.35">
      <c r="B88" s="20">
        <v>127</v>
      </c>
      <c r="C88" s="20" t="s">
        <v>187</v>
      </c>
      <c r="D88" s="20" t="s">
        <v>105</v>
      </c>
      <c r="E88" s="20" t="s">
        <v>1745</v>
      </c>
      <c r="F88" s="20" t="s">
        <v>1746</v>
      </c>
      <c r="G88" s="20" t="s">
        <v>1747</v>
      </c>
      <c r="H88" s="20" t="s">
        <v>1748</v>
      </c>
      <c r="I88" s="20" t="s">
        <v>58</v>
      </c>
      <c r="J88" s="20" t="s">
        <v>1745</v>
      </c>
      <c r="K88" s="20" t="s">
        <v>66</v>
      </c>
      <c r="L88" s="21">
        <v>35195</v>
      </c>
      <c r="M88" s="20" t="s">
        <v>345</v>
      </c>
      <c r="N88" s="20" t="s">
        <v>129</v>
      </c>
      <c r="O88" s="20" t="s">
        <v>60</v>
      </c>
      <c r="P88" s="20" t="s">
        <v>346</v>
      </c>
      <c r="Q88" s="20" t="s">
        <v>347</v>
      </c>
      <c r="R88" s="20" t="s">
        <v>783</v>
      </c>
      <c r="S88" s="20" t="s">
        <v>106</v>
      </c>
      <c r="T88" s="20" t="s">
        <v>65</v>
      </c>
      <c r="U88" s="20" t="s">
        <v>73</v>
      </c>
      <c r="V88" s="20" t="s">
        <v>1749</v>
      </c>
      <c r="W88" s="20" t="s">
        <v>107</v>
      </c>
      <c r="X88" s="20"/>
      <c r="Y88" s="20"/>
      <c r="Z88" s="20"/>
      <c r="AA88" s="20"/>
      <c r="AB88" s="21">
        <v>45922</v>
      </c>
      <c r="AC88" s="20"/>
      <c r="AD88" s="20"/>
      <c r="AE88" s="27">
        <v>9</v>
      </c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 t="s">
        <v>1784</v>
      </c>
      <c r="AR88" s="20" t="s">
        <v>1784</v>
      </c>
      <c r="AS88" s="29">
        <v>1470</v>
      </c>
      <c r="AT88" s="63">
        <v>113</v>
      </c>
      <c r="AU88" s="27">
        <v>441</v>
      </c>
      <c r="AV88" s="20">
        <v>113</v>
      </c>
      <c r="AW88" s="20"/>
      <c r="AX88" s="20"/>
      <c r="AY88" s="20"/>
      <c r="AZ88" s="20"/>
      <c r="BA88" s="20"/>
      <c r="BB88" s="20"/>
      <c r="BC88" s="20"/>
      <c r="BD88" s="20"/>
      <c r="BE88" s="20">
        <v>135</v>
      </c>
      <c r="BF88" s="20"/>
      <c r="BG88" s="20">
        <v>156</v>
      </c>
      <c r="BH88" s="20"/>
      <c r="BI88" s="20"/>
      <c r="BJ88" s="20"/>
      <c r="BK88" s="20"/>
      <c r="BL88" s="20"/>
      <c r="BM88" s="20"/>
      <c r="BN88" s="20"/>
      <c r="BO88" s="27"/>
      <c r="BP88" s="20"/>
      <c r="BQ88" s="20"/>
      <c r="BR88" s="20"/>
      <c r="BS88" s="27"/>
      <c r="BT88" s="20"/>
      <c r="BU88" s="20">
        <v>189</v>
      </c>
      <c r="BV88" s="20"/>
      <c r="BW88" s="20"/>
      <c r="BX88" s="20"/>
      <c r="BY88" s="28">
        <v>1034</v>
      </c>
      <c r="BZ88" s="20"/>
      <c r="CA88" s="20"/>
      <c r="CB88" s="20">
        <v>114.14</v>
      </c>
      <c r="CC88" s="27"/>
      <c r="CD88" s="20"/>
      <c r="CE88" s="27"/>
      <c r="CF88" s="20"/>
      <c r="CG88" s="27"/>
      <c r="CH88" s="20"/>
      <c r="CI88" s="20"/>
      <c r="CJ88" s="20"/>
      <c r="CK88" s="20"/>
      <c r="CL88" s="20"/>
      <c r="CM88" s="27"/>
      <c r="CN88" s="20"/>
      <c r="CO88" s="20"/>
      <c r="CP88" s="20"/>
      <c r="CQ88" s="20"/>
      <c r="CR88" s="27"/>
      <c r="CS88" s="20"/>
      <c r="CT88" s="20"/>
      <c r="CU88" s="20"/>
      <c r="CV88" s="20"/>
      <c r="CW88" s="20"/>
      <c r="CX88" s="20"/>
      <c r="CY88" s="28">
        <v>114.14</v>
      </c>
      <c r="CZ88" s="27">
        <v>101.7</v>
      </c>
      <c r="DA88" s="27"/>
      <c r="DB88" s="27">
        <v>3.07</v>
      </c>
      <c r="DC88" s="27">
        <v>5.18</v>
      </c>
      <c r="DD88" s="20"/>
      <c r="DE88" s="27">
        <v>2.99</v>
      </c>
      <c r="DF88" s="28">
        <v>112.94</v>
      </c>
      <c r="DG88" s="28">
        <v>919.86</v>
      </c>
    </row>
    <row r="89" spans="2:113" s="31" customFormat="1" ht="14.5" x14ac:dyDescent="0.35">
      <c r="B89" s="20">
        <v>117</v>
      </c>
      <c r="C89" s="20" t="s">
        <v>187</v>
      </c>
      <c r="D89" s="20" t="s">
        <v>109</v>
      </c>
      <c r="E89" s="20" t="s">
        <v>1109</v>
      </c>
      <c r="F89" s="20" t="s">
        <v>1110</v>
      </c>
      <c r="G89" s="20" t="s">
        <v>117</v>
      </c>
      <c r="H89" s="20" t="s">
        <v>1111</v>
      </c>
      <c r="I89" s="20" t="s">
        <v>58</v>
      </c>
      <c r="J89" s="20" t="s">
        <v>1109</v>
      </c>
      <c r="K89" s="20" t="s">
        <v>59</v>
      </c>
      <c r="L89" s="21">
        <v>33189</v>
      </c>
      <c r="M89" s="20" t="s">
        <v>419</v>
      </c>
      <c r="N89" s="20" t="s">
        <v>327</v>
      </c>
      <c r="O89" s="20" t="s">
        <v>67</v>
      </c>
      <c r="P89" s="20" t="s">
        <v>1051</v>
      </c>
      <c r="Q89" s="20" t="s">
        <v>1052</v>
      </c>
      <c r="R89" s="20" t="s">
        <v>783</v>
      </c>
      <c r="S89" s="20" t="s">
        <v>780</v>
      </c>
      <c r="T89" s="20" t="s">
        <v>65</v>
      </c>
      <c r="U89" s="20" t="s">
        <v>73</v>
      </c>
      <c r="V89" s="20" t="s">
        <v>1112</v>
      </c>
      <c r="W89" s="20" t="s">
        <v>896</v>
      </c>
      <c r="X89" s="20" t="s">
        <v>1113</v>
      </c>
      <c r="Y89" s="20" t="s">
        <v>1636</v>
      </c>
      <c r="Z89" s="20" t="s">
        <v>1529</v>
      </c>
      <c r="AA89" s="20" t="s">
        <v>1637</v>
      </c>
      <c r="AB89" s="21">
        <v>45685</v>
      </c>
      <c r="AC89" s="20"/>
      <c r="AD89" s="20"/>
      <c r="AE89" s="27">
        <v>30</v>
      </c>
      <c r="AF89" s="20"/>
      <c r="AG89" s="20"/>
      <c r="AH89" s="20"/>
      <c r="AI89" s="20"/>
      <c r="AJ89" s="20"/>
      <c r="AK89" s="20"/>
      <c r="AL89" s="20">
        <v>2</v>
      </c>
      <c r="AM89" s="20">
        <v>3</v>
      </c>
      <c r="AN89" s="20"/>
      <c r="AO89" s="20">
        <v>12</v>
      </c>
      <c r="AP89" s="20"/>
      <c r="AQ89" s="20">
        <v>61</v>
      </c>
      <c r="AR89" s="20">
        <v>16</v>
      </c>
      <c r="AS89" s="29">
        <v>2100</v>
      </c>
      <c r="AT89" s="63">
        <v>113</v>
      </c>
      <c r="AU89" s="27">
        <v>2100</v>
      </c>
      <c r="AV89" s="20">
        <v>113</v>
      </c>
      <c r="AW89" s="20">
        <v>23.05</v>
      </c>
      <c r="AX89" s="20">
        <v>37.35</v>
      </c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>
        <v>221.31</v>
      </c>
      <c r="BM89" s="20"/>
      <c r="BN89" s="20"/>
      <c r="BO89" s="27">
        <v>365.9</v>
      </c>
      <c r="BP89" s="20"/>
      <c r="BQ89" s="20"/>
      <c r="BR89" s="20"/>
      <c r="BS89" s="27">
        <v>96.07</v>
      </c>
      <c r="BT89" s="20"/>
      <c r="BU89" s="20"/>
      <c r="BV89" s="20">
        <v>77</v>
      </c>
      <c r="BW89" s="20">
        <v>80.06</v>
      </c>
      <c r="BX89" s="20"/>
      <c r="BY89" s="28">
        <v>3113.74</v>
      </c>
      <c r="BZ89" s="20"/>
      <c r="CA89" s="20">
        <v>840</v>
      </c>
      <c r="CB89" s="20"/>
      <c r="CC89" s="27">
        <v>41.8</v>
      </c>
      <c r="CD89" s="20"/>
      <c r="CE89" s="27">
        <v>301.77</v>
      </c>
      <c r="CF89" s="20"/>
      <c r="CG89" s="27">
        <v>41.34</v>
      </c>
      <c r="CH89" s="20"/>
      <c r="CI89" s="20"/>
      <c r="CJ89" s="20"/>
      <c r="CK89" s="20"/>
      <c r="CL89" s="20"/>
      <c r="CM89" s="27">
        <v>365.9</v>
      </c>
      <c r="CN89" s="20"/>
      <c r="CO89" s="20"/>
      <c r="CP89" s="20"/>
      <c r="CQ89" s="20"/>
      <c r="CR89" s="27">
        <v>96.07</v>
      </c>
      <c r="CS89" s="20">
        <v>9.8000000000000007</v>
      </c>
      <c r="CT89" s="20"/>
      <c r="CU89" s="20"/>
      <c r="CV89" s="20"/>
      <c r="CW89" s="20"/>
      <c r="CX89" s="20"/>
      <c r="CY89" s="28">
        <v>1696.68</v>
      </c>
      <c r="CZ89" s="27">
        <v>203.69</v>
      </c>
      <c r="DA89" s="27">
        <v>67.900000000000006</v>
      </c>
      <c r="DB89" s="27">
        <v>10.56</v>
      </c>
      <c r="DC89" s="27">
        <v>17.8</v>
      </c>
      <c r="DD89" s="20">
        <v>22.63</v>
      </c>
      <c r="DE89" s="27">
        <v>10.26</v>
      </c>
      <c r="DF89" s="28">
        <v>332.84</v>
      </c>
      <c r="DG89" s="28">
        <v>1417.06</v>
      </c>
    </row>
    <row r="90" spans="2:113" s="31" customFormat="1" ht="14.5" x14ac:dyDescent="0.35">
      <c r="B90" s="20">
        <v>156</v>
      </c>
      <c r="C90" s="20" t="s">
        <v>187</v>
      </c>
      <c r="D90" s="20" t="s">
        <v>105</v>
      </c>
      <c r="E90" s="20" t="s">
        <v>1768</v>
      </c>
      <c r="F90" s="20" t="s">
        <v>682</v>
      </c>
      <c r="G90" s="20" t="s">
        <v>669</v>
      </c>
      <c r="H90" s="20" t="s">
        <v>1769</v>
      </c>
      <c r="I90" s="20" t="s">
        <v>58</v>
      </c>
      <c r="J90" s="20" t="s">
        <v>1768</v>
      </c>
      <c r="K90" s="20" t="s">
        <v>59</v>
      </c>
      <c r="L90" s="21">
        <v>37454</v>
      </c>
      <c r="M90" s="20" t="s">
        <v>345</v>
      </c>
      <c r="N90" s="20" t="s">
        <v>129</v>
      </c>
      <c r="O90" s="20" t="s">
        <v>60</v>
      </c>
      <c r="P90" s="20" t="s">
        <v>346</v>
      </c>
      <c r="Q90" s="20" t="s">
        <v>347</v>
      </c>
      <c r="R90" s="20" t="s">
        <v>783</v>
      </c>
      <c r="S90" s="20" t="s">
        <v>106</v>
      </c>
      <c r="T90" s="20" t="s">
        <v>137</v>
      </c>
      <c r="U90" s="20" t="s">
        <v>64</v>
      </c>
      <c r="V90" s="20" t="s">
        <v>1770</v>
      </c>
      <c r="W90" s="20" t="s">
        <v>891</v>
      </c>
      <c r="X90" s="20" t="s">
        <v>1771</v>
      </c>
      <c r="Y90" s="20"/>
      <c r="Z90" s="20"/>
      <c r="AA90" s="20"/>
      <c r="AB90" s="21">
        <v>45922</v>
      </c>
      <c r="AC90" s="20"/>
      <c r="AD90" s="20"/>
      <c r="AE90" s="27">
        <v>9</v>
      </c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 t="s">
        <v>1784</v>
      </c>
      <c r="AR90" s="20" t="s">
        <v>1784</v>
      </c>
      <c r="AS90" s="29">
        <v>1750</v>
      </c>
      <c r="AT90" s="63"/>
      <c r="AU90" s="27">
        <v>525</v>
      </c>
      <c r="AV90" s="20"/>
      <c r="AW90" s="20"/>
      <c r="AX90" s="20"/>
      <c r="AY90" s="20"/>
      <c r="AZ90" s="20"/>
      <c r="BA90" s="20"/>
      <c r="BB90" s="20"/>
      <c r="BC90" s="20"/>
      <c r="BD90" s="20"/>
      <c r="BE90" s="20">
        <v>135</v>
      </c>
      <c r="BF90" s="20"/>
      <c r="BG90" s="20">
        <v>156</v>
      </c>
      <c r="BH90" s="20"/>
      <c r="BI90" s="20"/>
      <c r="BJ90" s="20"/>
      <c r="BK90" s="20"/>
      <c r="BL90" s="20"/>
      <c r="BM90" s="20"/>
      <c r="BN90" s="20"/>
      <c r="BO90" s="27"/>
      <c r="BP90" s="20"/>
      <c r="BQ90" s="20"/>
      <c r="BR90" s="20"/>
      <c r="BS90" s="27"/>
      <c r="BT90" s="20"/>
      <c r="BU90" s="20">
        <v>225</v>
      </c>
      <c r="BV90" s="20"/>
      <c r="BW90" s="20"/>
      <c r="BX90" s="20"/>
      <c r="BY90" s="28">
        <v>1041</v>
      </c>
      <c r="BZ90" s="20"/>
      <c r="CA90" s="20"/>
      <c r="CB90" s="20"/>
      <c r="CC90" s="27"/>
      <c r="CD90" s="20"/>
      <c r="CE90" s="27">
        <v>88.5</v>
      </c>
      <c r="CF90" s="20"/>
      <c r="CG90" s="27">
        <v>12.12</v>
      </c>
      <c r="CH90" s="20"/>
      <c r="CI90" s="20"/>
      <c r="CJ90" s="20"/>
      <c r="CK90" s="20"/>
      <c r="CL90" s="20"/>
      <c r="CM90" s="27"/>
      <c r="CN90" s="20"/>
      <c r="CO90" s="20"/>
      <c r="CP90" s="20"/>
      <c r="CQ90" s="20"/>
      <c r="CR90" s="27"/>
      <c r="CS90" s="20"/>
      <c r="CT90" s="20"/>
      <c r="CU90" s="20"/>
      <c r="CV90" s="20"/>
      <c r="CW90" s="20"/>
      <c r="CX90" s="20"/>
      <c r="CY90" s="28">
        <v>100.62</v>
      </c>
      <c r="CZ90" s="27">
        <v>101.7</v>
      </c>
      <c r="DA90" s="27"/>
      <c r="DB90" s="27">
        <v>3.1</v>
      </c>
      <c r="DC90" s="27">
        <v>5.22</v>
      </c>
      <c r="DD90" s="20"/>
      <c r="DE90" s="27">
        <v>3.01</v>
      </c>
      <c r="DF90" s="28">
        <v>113.03</v>
      </c>
      <c r="DG90" s="28">
        <v>940.38</v>
      </c>
    </row>
    <row r="91" spans="2:113" s="31" customFormat="1" ht="14.5" x14ac:dyDescent="0.35">
      <c r="B91" s="20">
        <v>176</v>
      </c>
      <c r="C91" s="20" t="s">
        <v>187</v>
      </c>
      <c r="D91" s="20" t="s">
        <v>105</v>
      </c>
      <c r="E91" s="20" t="s">
        <v>300</v>
      </c>
      <c r="F91" s="20" t="s">
        <v>719</v>
      </c>
      <c r="G91" s="20" t="s">
        <v>720</v>
      </c>
      <c r="H91" s="20" t="s">
        <v>721</v>
      </c>
      <c r="I91" s="20" t="s">
        <v>58</v>
      </c>
      <c r="J91" s="20" t="s">
        <v>300</v>
      </c>
      <c r="K91" s="20" t="s">
        <v>59</v>
      </c>
      <c r="L91" s="21">
        <v>29025</v>
      </c>
      <c r="M91" s="20" t="s">
        <v>345</v>
      </c>
      <c r="N91" s="20" t="s">
        <v>129</v>
      </c>
      <c r="O91" s="20" t="s">
        <v>60</v>
      </c>
      <c r="P91" s="20" t="s">
        <v>346</v>
      </c>
      <c r="Q91" s="20" t="s">
        <v>347</v>
      </c>
      <c r="R91" s="20" t="s">
        <v>783</v>
      </c>
      <c r="S91" s="20" t="s">
        <v>787</v>
      </c>
      <c r="T91" s="20" t="s">
        <v>63</v>
      </c>
      <c r="U91" s="20" t="s">
        <v>64</v>
      </c>
      <c r="V91" s="20" t="s">
        <v>877</v>
      </c>
      <c r="W91" s="20" t="s">
        <v>891</v>
      </c>
      <c r="X91" s="20" t="s">
        <v>1006</v>
      </c>
      <c r="Y91" s="20" t="s">
        <v>63</v>
      </c>
      <c r="Z91" s="20" t="s">
        <v>1529</v>
      </c>
      <c r="AA91" s="20" t="s">
        <v>1681</v>
      </c>
      <c r="AB91" s="21">
        <v>45432</v>
      </c>
      <c r="AC91" s="20"/>
      <c r="AD91" s="20"/>
      <c r="AE91" s="27">
        <v>30</v>
      </c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>
        <v>1</v>
      </c>
      <c r="AQ91" s="20" t="s">
        <v>1784</v>
      </c>
      <c r="AR91" s="20" t="s">
        <v>1784</v>
      </c>
      <c r="AS91" s="29">
        <v>1802.5</v>
      </c>
      <c r="AT91" s="63">
        <v>113</v>
      </c>
      <c r="AU91" s="27">
        <v>1802.5</v>
      </c>
      <c r="AV91" s="20">
        <v>113</v>
      </c>
      <c r="AW91" s="20"/>
      <c r="AX91" s="20"/>
      <c r="AY91" s="20"/>
      <c r="AZ91" s="20"/>
      <c r="BA91" s="20"/>
      <c r="BB91" s="20"/>
      <c r="BC91" s="20"/>
      <c r="BD91" s="20"/>
      <c r="BE91" s="20">
        <v>450</v>
      </c>
      <c r="BF91" s="20"/>
      <c r="BG91" s="20">
        <v>520</v>
      </c>
      <c r="BH91" s="20"/>
      <c r="BI91" s="20"/>
      <c r="BJ91" s="20"/>
      <c r="BK91" s="20"/>
      <c r="BL91" s="20"/>
      <c r="BM91" s="20"/>
      <c r="BN91" s="20">
        <v>127.7</v>
      </c>
      <c r="BO91" s="27"/>
      <c r="BP91" s="20"/>
      <c r="BQ91" s="20"/>
      <c r="BR91" s="20"/>
      <c r="BS91" s="27">
        <v>48.03</v>
      </c>
      <c r="BT91" s="20"/>
      <c r="BU91" s="20">
        <v>613.1</v>
      </c>
      <c r="BV91" s="20"/>
      <c r="BW91" s="20"/>
      <c r="BX91" s="20"/>
      <c r="BY91" s="28">
        <v>3674.33</v>
      </c>
      <c r="BZ91" s="20"/>
      <c r="CA91" s="20"/>
      <c r="CB91" s="20"/>
      <c r="CC91" s="27">
        <v>97.55</v>
      </c>
      <c r="CD91" s="20"/>
      <c r="CE91" s="27">
        <v>310.63</v>
      </c>
      <c r="CF91" s="20">
        <v>48.15</v>
      </c>
      <c r="CG91" s="27">
        <v>42.56</v>
      </c>
      <c r="CH91" s="20"/>
      <c r="CI91" s="20"/>
      <c r="CJ91" s="20"/>
      <c r="CK91" s="20"/>
      <c r="CL91" s="20"/>
      <c r="CM91" s="27"/>
      <c r="CN91" s="20"/>
      <c r="CO91" s="20"/>
      <c r="CP91" s="20"/>
      <c r="CQ91" s="20"/>
      <c r="CR91" s="27">
        <v>48.03</v>
      </c>
      <c r="CS91" s="20"/>
      <c r="CT91" s="20"/>
      <c r="CU91" s="20"/>
      <c r="CV91" s="20"/>
      <c r="CW91" s="20"/>
      <c r="CX91" s="20"/>
      <c r="CY91" s="28">
        <v>546.91999999999996</v>
      </c>
      <c r="CZ91" s="27">
        <v>209.68</v>
      </c>
      <c r="DA91" s="27">
        <v>69.89</v>
      </c>
      <c r="DB91" s="27">
        <v>10.87</v>
      </c>
      <c r="DC91" s="27">
        <v>18.329999999999998</v>
      </c>
      <c r="DD91" s="20"/>
      <c r="DE91" s="27">
        <v>10.56</v>
      </c>
      <c r="DF91" s="28">
        <v>319.33</v>
      </c>
      <c r="DG91" s="28">
        <v>3127.41</v>
      </c>
    </row>
    <row r="92" spans="2:113" s="31" customFormat="1" ht="14.5" x14ac:dyDescent="0.35">
      <c r="B92" s="20">
        <v>202</v>
      </c>
      <c r="C92" s="20" t="s">
        <v>187</v>
      </c>
      <c r="D92" s="20" t="s">
        <v>105</v>
      </c>
      <c r="E92" s="20" t="s">
        <v>315</v>
      </c>
      <c r="F92" s="20" t="s">
        <v>769</v>
      </c>
      <c r="G92" s="20" t="s">
        <v>770</v>
      </c>
      <c r="H92" s="20" t="s">
        <v>463</v>
      </c>
      <c r="I92" s="20" t="s">
        <v>58</v>
      </c>
      <c r="J92" s="20" t="s">
        <v>315</v>
      </c>
      <c r="K92" s="20" t="s">
        <v>59</v>
      </c>
      <c r="L92" s="21">
        <v>29843</v>
      </c>
      <c r="M92" s="20" t="s">
        <v>345</v>
      </c>
      <c r="N92" s="20" t="s">
        <v>129</v>
      </c>
      <c r="O92" s="20" t="s">
        <v>60</v>
      </c>
      <c r="P92" s="20" t="s">
        <v>346</v>
      </c>
      <c r="Q92" s="20" t="s">
        <v>347</v>
      </c>
      <c r="R92" s="20" t="s">
        <v>783</v>
      </c>
      <c r="S92" s="20" t="s">
        <v>106</v>
      </c>
      <c r="T92" s="20" t="s">
        <v>63</v>
      </c>
      <c r="U92" s="20" t="s">
        <v>64</v>
      </c>
      <c r="V92" s="20" t="s">
        <v>888</v>
      </c>
      <c r="W92" s="20" t="s">
        <v>891</v>
      </c>
      <c r="X92" s="20" t="s">
        <v>1021</v>
      </c>
      <c r="Y92" s="20" t="s">
        <v>63</v>
      </c>
      <c r="Z92" s="20" t="s">
        <v>1529</v>
      </c>
      <c r="AA92" s="20" t="s">
        <v>1703</v>
      </c>
      <c r="AB92" s="21">
        <v>45170</v>
      </c>
      <c r="AC92" s="20"/>
      <c r="AD92" s="20"/>
      <c r="AE92" s="27">
        <v>30</v>
      </c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>
        <v>1</v>
      </c>
      <c r="AQ92" s="20" t="s">
        <v>1784</v>
      </c>
      <c r="AR92" s="20" t="s">
        <v>1784</v>
      </c>
      <c r="AS92" s="29">
        <v>1802.5</v>
      </c>
      <c r="AT92" s="63">
        <v>113</v>
      </c>
      <c r="AU92" s="27">
        <v>1802.5</v>
      </c>
      <c r="AV92" s="20">
        <v>113</v>
      </c>
      <c r="AW92" s="20"/>
      <c r="AX92" s="20"/>
      <c r="AY92" s="20"/>
      <c r="AZ92" s="20"/>
      <c r="BA92" s="20"/>
      <c r="BB92" s="20"/>
      <c r="BC92" s="20"/>
      <c r="BD92" s="20"/>
      <c r="BE92" s="20">
        <v>450</v>
      </c>
      <c r="BF92" s="20"/>
      <c r="BG92" s="20">
        <v>520</v>
      </c>
      <c r="BH92" s="20"/>
      <c r="BI92" s="20"/>
      <c r="BJ92" s="20"/>
      <c r="BK92" s="20"/>
      <c r="BL92" s="20"/>
      <c r="BM92" s="20"/>
      <c r="BN92" s="20">
        <v>127.7</v>
      </c>
      <c r="BO92" s="27"/>
      <c r="BP92" s="20"/>
      <c r="BQ92" s="20"/>
      <c r="BR92" s="20"/>
      <c r="BS92" s="27">
        <v>96.06</v>
      </c>
      <c r="BT92" s="20">
        <v>100</v>
      </c>
      <c r="BU92" s="20"/>
      <c r="BV92" s="20"/>
      <c r="BW92" s="20"/>
      <c r="BX92" s="20"/>
      <c r="BY92" s="28">
        <v>3209.26</v>
      </c>
      <c r="BZ92" s="20"/>
      <c r="CA92" s="20"/>
      <c r="CB92" s="20"/>
      <c r="CC92" s="27">
        <v>15.16</v>
      </c>
      <c r="CD92" s="20"/>
      <c r="CE92" s="27">
        <v>249.32</v>
      </c>
      <c r="CF92" s="20">
        <v>38.64</v>
      </c>
      <c r="CG92" s="27">
        <v>34.159999999999997</v>
      </c>
      <c r="CH92" s="20"/>
      <c r="CI92" s="20"/>
      <c r="CJ92" s="20"/>
      <c r="CK92" s="20"/>
      <c r="CL92" s="20"/>
      <c r="CM92" s="27"/>
      <c r="CN92" s="20"/>
      <c r="CO92" s="20"/>
      <c r="CP92" s="20"/>
      <c r="CQ92" s="20"/>
      <c r="CR92" s="27">
        <v>96.06</v>
      </c>
      <c r="CS92" s="20"/>
      <c r="CT92" s="20"/>
      <c r="CU92" s="20"/>
      <c r="CV92" s="20">
        <v>100</v>
      </c>
      <c r="CW92" s="20"/>
      <c r="CX92" s="20"/>
      <c r="CY92" s="28">
        <v>533.34</v>
      </c>
      <c r="CZ92" s="27">
        <v>168.29</v>
      </c>
      <c r="DA92" s="27">
        <v>56.1</v>
      </c>
      <c r="DB92" s="27"/>
      <c r="DC92" s="27"/>
      <c r="DD92" s="20"/>
      <c r="DE92" s="27">
        <v>8.48</v>
      </c>
      <c r="DF92" s="28">
        <v>232.87</v>
      </c>
      <c r="DG92" s="28">
        <v>2675.92</v>
      </c>
    </row>
    <row r="93" spans="2:113" s="31" customFormat="1" ht="14.5" x14ac:dyDescent="0.35">
      <c r="B93" s="20">
        <v>121</v>
      </c>
      <c r="C93" s="20" t="s">
        <v>187</v>
      </c>
      <c r="D93" s="20" t="s">
        <v>109</v>
      </c>
      <c r="E93" s="20" t="s">
        <v>272</v>
      </c>
      <c r="F93" s="20" t="s">
        <v>646</v>
      </c>
      <c r="G93" s="20" t="s">
        <v>647</v>
      </c>
      <c r="H93" s="20" t="s">
        <v>648</v>
      </c>
      <c r="I93" s="20" t="s">
        <v>58</v>
      </c>
      <c r="J93" s="20" t="s">
        <v>272</v>
      </c>
      <c r="K93" s="20" t="s">
        <v>59</v>
      </c>
      <c r="L93" s="21">
        <v>36756</v>
      </c>
      <c r="M93" s="20" t="s">
        <v>419</v>
      </c>
      <c r="N93" s="20" t="s">
        <v>327</v>
      </c>
      <c r="O93" s="20" t="s">
        <v>67</v>
      </c>
      <c r="P93" s="20" t="s">
        <v>1051</v>
      </c>
      <c r="Q93" s="20" t="s">
        <v>1052</v>
      </c>
      <c r="R93" s="20" t="s">
        <v>779</v>
      </c>
      <c r="S93" s="20" t="s">
        <v>780</v>
      </c>
      <c r="T93" s="20" t="s">
        <v>63</v>
      </c>
      <c r="U93" s="20" t="s">
        <v>64</v>
      </c>
      <c r="V93" s="20" t="s">
        <v>854</v>
      </c>
      <c r="W93" s="20" t="s">
        <v>891</v>
      </c>
      <c r="X93" s="20" t="s">
        <v>977</v>
      </c>
      <c r="Y93" s="20" t="s">
        <v>63</v>
      </c>
      <c r="Z93" s="20" t="s">
        <v>1529</v>
      </c>
      <c r="AA93" s="20" t="s">
        <v>1640</v>
      </c>
      <c r="AB93" s="21">
        <v>44440</v>
      </c>
      <c r="AC93" s="20"/>
      <c r="AD93" s="20"/>
      <c r="AE93" s="27">
        <v>30</v>
      </c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>
        <v>62</v>
      </c>
      <c r="AR93" s="20" t="s">
        <v>1784</v>
      </c>
      <c r="AS93" s="29">
        <v>2730</v>
      </c>
      <c r="AT93" s="63"/>
      <c r="AU93" s="27">
        <v>2730</v>
      </c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7">
        <v>349.6</v>
      </c>
      <c r="BP93" s="20"/>
      <c r="BQ93" s="20"/>
      <c r="BR93" s="20"/>
      <c r="BS93" s="27">
        <v>96.07</v>
      </c>
      <c r="BT93" s="20"/>
      <c r="BU93" s="20"/>
      <c r="BV93" s="20"/>
      <c r="BW93" s="20">
        <v>105.79</v>
      </c>
      <c r="BX93" s="20"/>
      <c r="BY93" s="28">
        <v>3281.46</v>
      </c>
      <c r="BZ93" s="20"/>
      <c r="CA93" s="20">
        <v>1092</v>
      </c>
      <c r="CB93" s="20"/>
      <c r="CC93" s="27">
        <v>86.28</v>
      </c>
      <c r="CD93" s="20"/>
      <c r="CE93" s="27">
        <v>318.54000000000002</v>
      </c>
      <c r="CF93" s="20"/>
      <c r="CG93" s="27">
        <v>43.64</v>
      </c>
      <c r="CH93" s="20"/>
      <c r="CI93" s="20"/>
      <c r="CJ93" s="20"/>
      <c r="CK93" s="20"/>
      <c r="CL93" s="20"/>
      <c r="CM93" s="27">
        <v>349.6</v>
      </c>
      <c r="CN93" s="20"/>
      <c r="CO93" s="20"/>
      <c r="CP93" s="20"/>
      <c r="CQ93" s="20"/>
      <c r="CR93" s="27">
        <v>96.07</v>
      </c>
      <c r="CS93" s="20"/>
      <c r="CT93" s="20"/>
      <c r="CU93" s="20"/>
      <c r="CV93" s="20"/>
      <c r="CW93" s="20"/>
      <c r="CX93" s="20"/>
      <c r="CY93" s="28">
        <v>1986.13</v>
      </c>
      <c r="CZ93" s="27">
        <v>215.01</v>
      </c>
      <c r="DA93" s="27">
        <v>71.67</v>
      </c>
      <c r="DB93" s="27">
        <v>11.15</v>
      </c>
      <c r="DC93" s="27">
        <v>18.79</v>
      </c>
      <c r="DD93" s="20">
        <v>23.89</v>
      </c>
      <c r="DE93" s="27">
        <v>10.83</v>
      </c>
      <c r="DF93" s="28">
        <v>351.34</v>
      </c>
      <c r="DG93" s="28">
        <v>1295.33</v>
      </c>
    </row>
    <row r="94" spans="2:113" s="31" customFormat="1" ht="14.5" x14ac:dyDescent="0.35">
      <c r="B94" s="20">
        <v>189</v>
      </c>
      <c r="C94" s="20" t="s">
        <v>187</v>
      </c>
      <c r="D94" s="20" t="s">
        <v>105</v>
      </c>
      <c r="E94" s="20" t="s">
        <v>306</v>
      </c>
      <c r="F94" s="20" t="s">
        <v>735</v>
      </c>
      <c r="G94" s="20" t="s">
        <v>736</v>
      </c>
      <c r="H94" s="20" t="s">
        <v>737</v>
      </c>
      <c r="I94" s="20" t="s">
        <v>58</v>
      </c>
      <c r="J94" s="20" t="s">
        <v>306</v>
      </c>
      <c r="K94" s="20" t="s">
        <v>59</v>
      </c>
      <c r="L94" s="21">
        <v>31067</v>
      </c>
      <c r="M94" s="20" t="s">
        <v>507</v>
      </c>
      <c r="N94" s="20" t="s">
        <v>129</v>
      </c>
      <c r="O94" s="20" t="s">
        <v>60</v>
      </c>
      <c r="P94" s="20" t="s">
        <v>346</v>
      </c>
      <c r="Q94" s="20" t="s">
        <v>347</v>
      </c>
      <c r="R94" s="20" t="s">
        <v>779</v>
      </c>
      <c r="S94" s="20" t="s">
        <v>106</v>
      </c>
      <c r="T94" s="20" t="s">
        <v>65</v>
      </c>
      <c r="U94" s="20" t="s">
        <v>73</v>
      </c>
      <c r="V94" s="20" t="s">
        <v>882</v>
      </c>
      <c r="W94" s="20" t="s">
        <v>891</v>
      </c>
      <c r="X94" s="20" t="s">
        <v>1012</v>
      </c>
      <c r="Y94" s="20" t="s">
        <v>161</v>
      </c>
      <c r="Z94" s="20" t="s">
        <v>1529</v>
      </c>
      <c r="AA94" s="20" t="s">
        <v>1690</v>
      </c>
      <c r="AB94" s="21">
        <v>44727</v>
      </c>
      <c r="AC94" s="20"/>
      <c r="AD94" s="20"/>
      <c r="AE94" s="27">
        <v>30</v>
      </c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>
        <v>1</v>
      </c>
      <c r="AQ94" s="20" t="s">
        <v>1784</v>
      </c>
      <c r="AR94" s="20" t="s">
        <v>1784</v>
      </c>
      <c r="AS94" s="29">
        <v>2365.3000000000002</v>
      </c>
      <c r="AT94" s="63">
        <v>113</v>
      </c>
      <c r="AU94" s="27">
        <v>2365.3000000000002</v>
      </c>
      <c r="AV94" s="20">
        <v>113</v>
      </c>
      <c r="AW94" s="20"/>
      <c r="AX94" s="20"/>
      <c r="AY94" s="20"/>
      <c r="AZ94" s="20"/>
      <c r="BA94" s="20"/>
      <c r="BB94" s="20"/>
      <c r="BC94" s="20"/>
      <c r="BD94" s="20"/>
      <c r="BE94" s="20">
        <v>450</v>
      </c>
      <c r="BF94" s="20"/>
      <c r="BG94" s="20">
        <v>520</v>
      </c>
      <c r="BH94" s="20"/>
      <c r="BI94" s="20"/>
      <c r="BJ94" s="20"/>
      <c r="BK94" s="20"/>
      <c r="BL94" s="20"/>
      <c r="BM94" s="20"/>
      <c r="BN94" s="20">
        <v>165.22</v>
      </c>
      <c r="BO94" s="27"/>
      <c r="BP94" s="20"/>
      <c r="BQ94" s="20"/>
      <c r="BR94" s="20"/>
      <c r="BS94" s="27">
        <v>48.03</v>
      </c>
      <c r="BT94" s="20"/>
      <c r="BU94" s="20">
        <v>1310.57</v>
      </c>
      <c r="BV94" s="20"/>
      <c r="BW94" s="20"/>
      <c r="BX94" s="20"/>
      <c r="BY94" s="28">
        <v>4972.12</v>
      </c>
      <c r="BZ94" s="20"/>
      <c r="CA94" s="20"/>
      <c r="CB94" s="20"/>
      <c r="CC94" s="27">
        <v>203.32</v>
      </c>
      <c r="CD94" s="20"/>
      <c r="CE94" s="27">
        <v>440.41</v>
      </c>
      <c r="CF94" s="20">
        <v>68.260000000000005</v>
      </c>
      <c r="CG94" s="27">
        <v>60.34</v>
      </c>
      <c r="CH94" s="20"/>
      <c r="CI94" s="20"/>
      <c r="CJ94" s="20"/>
      <c r="CK94" s="20"/>
      <c r="CL94" s="20"/>
      <c r="CM94" s="27"/>
      <c r="CN94" s="20"/>
      <c r="CO94" s="20"/>
      <c r="CP94" s="20"/>
      <c r="CQ94" s="20"/>
      <c r="CR94" s="27">
        <v>48.03</v>
      </c>
      <c r="CS94" s="20"/>
      <c r="CT94" s="20"/>
      <c r="CU94" s="20"/>
      <c r="CV94" s="20"/>
      <c r="CW94" s="20"/>
      <c r="CX94" s="20"/>
      <c r="CY94" s="28">
        <v>820.36</v>
      </c>
      <c r="CZ94" s="27">
        <v>297.27999999999997</v>
      </c>
      <c r="DA94" s="27">
        <v>99.09</v>
      </c>
      <c r="DB94" s="27">
        <v>15.41</v>
      </c>
      <c r="DC94" s="27">
        <v>25.98</v>
      </c>
      <c r="DD94" s="20"/>
      <c r="DE94" s="27">
        <v>14.97</v>
      </c>
      <c r="DF94" s="28">
        <v>452.73</v>
      </c>
      <c r="DG94" s="28">
        <v>4151.76</v>
      </c>
    </row>
    <row r="95" spans="2:113" s="31" customFormat="1" ht="14.5" x14ac:dyDescent="0.35">
      <c r="B95" s="20">
        <v>2</v>
      </c>
      <c r="C95" s="20" t="s">
        <v>187</v>
      </c>
      <c r="D95" s="20" t="s">
        <v>105</v>
      </c>
      <c r="E95" s="20" t="s">
        <v>1374</v>
      </c>
      <c r="F95" s="20" t="s">
        <v>1375</v>
      </c>
      <c r="G95" s="20" t="s">
        <v>1376</v>
      </c>
      <c r="H95" s="20" t="s">
        <v>1377</v>
      </c>
      <c r="I95" s="20" t="s">
        <v>58</v>
      </c>
      <c r="J95" s="20" t="s">
        <v>1374</v>
      </c>
      <c r="K95" s="20" t="s">
        <v>59</v>
      </c>
      <c r="L95" s="21">
        <v>25551</v>
      </c>
      <c r="M95" s="20" t="s">
        <v>412</v>
      </c>
      <c r="N95" s="20" t="s">
        <v>129</v>
      </c>
      <c r="O95" s="20" t="s">
        <v>60</v>
      </c>
      <c r="P95" s="20" t="s">
        <v>321</v>
      </c>
      <c r="Q95" s="20" t="s">
        <v>322</v>
      </c>
      <c r="R95" s="20" t="s">
        <v>783</v>
      </c>
      <c r="S95" s="20" t="s">
        <v>787</v>
      </c>
      <c r="T95" s="20" t="s">
        <v>63</v>
      </c>
      <c r="U95" s="20" t="s">
        <v>64</v>
      </c>
      <c r="V95" s="20" t="s">
        <v>1708</v>
      </c>
      <c r="W95" s="20" t="s">
        <v>891</v>
      </c>
      <c r="X95" s="20" t="s">
        <v>1378</v>
      </c>
      <c r="Y95" s="20"/>
      <c r="Z95" s="20"/>
      <c r="AA95" s="20"/>
      <c r="AB95" s="21">
        <v>45841</v>
      </c>
      <c r="AC95" s="20"/>
      <c r="AD95" s="20"/>
      <c r="AE95" s="27">
        <v>30</v>
      </c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 t="s">
        <v>1784</v>
      </c>
      <c r="AR95" s="20" t="s">
        <v>1784</v>
      </c>
      <c r="AS95" s="29">
        <v>1470</v>
      </c>
      <c r="AT95" s="29">
        <v>113</v>
      </c>
      <c r="AU95" s="27">
        <v>1470</v>
      </c>
      <c r="AV95" s="27">
        <v>113</v>
      </c>
      <c r="AW95" s="20"/>
      <c r="AX95" s="20"/>
      <c r="AY95" s="20"/>
      <c r="AZ95" s="20"/>
      <c r="BA95" s="20"/>
      <c r="BB95" s="20"/>
      <c r="BC95" s="20"/>
      <c r="BD95" s="20"/>
      <c r="BE95" s="27">
        <v>390</v>
      </c>
      <c r="BF95" s="20"/>
      <c r="BG95" s="27">
        <v>520</v>
      </c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7">
        <v>48.03</v>
      </c>
      <c r="BT95" s="20"/>
      <c r="BU95" s="27">
        <v>630</v>
      </c>
      <c r="BV95" s="20"/>
      <c r="BW95" s="20"/>
      <c r="BX95" s="20"/>
      <c r="BY95" s="28">
        <v>3171.03</v>
      </c>
      <c r="BZ95" s="20"/>
      <c r="CA95" s="20"/>
      <c r="CB95" s="20"/>
      <c r="CC95" s="20"/>
      <c r="CD95" s="20"/>
      <c r="CE95" s="27">
        <v>260.3</v>
      </c>
      <c r="CF95" s="27">
        <v>40.35</v>
      </c>
      <c r="CG95" s="27">
        <v>35.659999999999997</v>
      </c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7">
        <v>48.03</v>
      </c>
      <c r="CS95" s="20"/>
      <c r="CT95" s="20"/>
      <c r="CU95" s="20"/>
      <c r="CV95" s="20"/>
      <c r="CW95" s="20"/>
      <c r="CX95" s="20"/>
      <c r="CY95" s="28">
        <v>384.34</v>
      </c>
      <c r="CZ95" s="27">
        <v>234.27</v>
      </c>
      <c r="DA95" s="20"/>
      <c r="DB95" s="27">
        <v>9.11</v>
      </c>
      <c r="DC95" s="27">
        <v>15.36</v>
      </c>
      <c r="DD95" s="20"/>
      <c r="DE95" s="27">
        <v>8.85</v>
      </c>
      <c r="DF95" s="28">
        <v>267.58999999999997</v>
      </c>
      <c r="DG95" s="28">
        <v>2786.69</v>
      </c>
    </row>
    <row r="96" spans="2:113" s="31" customFormat="1" ht="14.5" x14ac:dyDescent="0.35">
      <c r="B96" s="20">
        <v>135</v>
      </c>
      <c r="C96" s="20" t="s">
        <v>187</v>
      </c>
      <c r="D96" s="20" t="s">
        <v>109</v>
      </c>
      <c r="E96" s="20" t="s">
        <v>277</v>
      </c>
      <c r="F96" s="20" t="s">
        <v>625</v>
      </c>
      <c r="G96" s="20" t="s">
        <v>661</v>
      </c>
      <c r="H96" s="20" t="s">
        <v>662</v>
      </c>
      <c r="I96" s="20" t="s">
        <v>58</v>
      </c>
      <c r="J96" s="20" t="s">
        <v>277</v>
      </c>
      <c r="K96" s="20" t="s">
        <v>59</v>
      </c>
      <c r="L96" s="21">
        <v>33672</v>
      </c>
      <c r="M96" s="20" t="s">
        <v>419</v>
      </c>
      <c r="N96" s="20" t="s">
        <v>327</v>
      </c>
      <c r="O96" s="20" t="s">
        <v>67</v>
      </c>
      <c r="P96" s="20" t="s">
        <v>1051</v>
      </c>
      <c r="Q96" s="20" t="s">
        <v>1052</v>
      </c>
      <c r="R96" s="20" t="s">
        <v>779</v>
      </c>
      <c r="S96" s="20" t="s">
        <v>780</v>
      </c>
      <c r="T96" s="20" t="s">
        <v>137</v>
      </c>
      <c r="U96" s="20" t="s">
        <v>64</v>
      </c>
      <c r="V96" s="20" t="s">
        <v>858</v>
      </c>
      <c r="W96" s="20" t="s">
        <v>898</v>
      </c>
      <c r="X96" s="20" t="s">
        <v>982</v>
      </c>
      <c r="Y96" s="20" t="s">
        <v>1560</v>
      </c>
      <c r="Z96" s="20" t="s">
        <v>1529</v>
      </c>
      <c r="AA96" s="20" t="s">
        <v>1648</v>
      </c>
      <c r="AB96" s="21">
        <v>44236</v>
      </c>
      <c r="AC96" s="20"/>
      <c r="AD96" s="20"/>
      <c r="AE96" s="27">
        <v>23</v>
      </c>
      <c r="AF96" s="20"/>
      <c r="AG96" s="20">
        <v>7</v>
      </c>
      <c r="AH96" s="20"/>
      <c r="AI96" s="20"/>
      <c r="AJ96" s="20"/>
      <c r="AK96" s="20"/>
      <c r="AL96" s="20"/>
      <c r="AM96" s="20"/>
      <c r="AN96" s="20"/>
      <c r="AO96" s="20"/>
      <c r="AP96" s="20"/>
      <c r="AQ96" s="20">
        <v>14</v>
      </c>
      <c r="AR96" s="20">
        <v>32</v>
      </c>
      <c r="AS96" s="29">
        <v>3296</v>
      </c>
      <c r="AT96" s="63">
        <v>200</v>
      </c>
      <c r="AU96" s="27">
        <v>2526.9299999999998</v>
      </c>
      <c r="AV96" s="20">
        <v>200</v>
      </c>
      <c r="AW96" s="20"/>
      <c r="AX96" s="20"/>
      <c r="AY96" s="20"/>
      <c r="AZ96" s="20">
        <v>1014.47</v>
      </c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7">
        <v>238.5</v>
      </c>
      <c r="BP96" s="20"/>
      <c r="BQ96" s="20"/>
      <c r="BR96" s="20"/>
      <c r="BS96" s="27">
        <v>96.07</v>
      </c>
      <c r="BT96" s="20"/>
      <c r="BU96" s="20"/>
      <c r="BV96" s="20">
        <v>241.71</v>
      </c>
      <c r="BW96" s="20">
        <v>28.84</v>
      </c>
      <c r="BX96" s="20"/>
      <c r="BY96" s="28">
        <v>4346.5200000000004</v>
      </c>
      <c r="BZ96" s="20"/>
      <c r="CA96" s="20">
        <v>1318.4</v>
      </c>
      <c r="CB96" s="20"/>
      <c r="CC96" s="27">
        <v>131</v>
      </c>
      <c r="CD96" s="20"/>
      <c r="CE96" s="27">
        <v>425.05</v>
      </c>
      <c r="CF96" s="20"/>
      <c r="CG96" s="27">
        <v>58.23</v>
      </c>
      <c r="CH96" s="20"/>
      <c r="CI96" s="20"/>
      <c r="CJ96" s="20"/>
      <c r="CK96" s="20"/>
      <c r="CL96" s="20"/>
      <c r="CM96" s="27">
        <v>238.5</v>
      </c>
      <c r="CN96" s="20"/>
      <c r="CO96" s="20"/>
      <c r="CP96" s="20"/>
      <c r="CQ96" s="20"/>
      <c r="CR96" s="27">
        <v>96.07</v>
      </c>
      <c r="CS96" s="20"/>
      <c r="CT96" s="20"/>
      <c r="CU96" s="20"/>
      <c r="CV96" s="20"/>
      <c r="CW96" s="20"/>
      <c r="CX96" s="20"/>
      <c r="CY96" s="28">
        <v>2267.25</v>
      </c>
      <c r="CZ96" s="27">
        <v>286.91000000000003</v>
      </c>
      <c r="DA96" s="27">
        <v>95.64</v>
      </c>
      <c r="DB96" s="27">
        <v>14.88</v>
      </c>
      <c r="DC96" s="27">
        <v>25.08</v>
      </c>
      <c r="DD96" s="20">
        <v>31.88</v>
      </c>
      <c r="DE96" s="27">
        <v>14.45</v>
      </c>
      <c r="DF96" s="28">
        <v>468.84</v>
      </c>
      <c r="DG96" s="28">
        <v>2079.27</v>
      </c>
    </row>
    <row r="97" spans="2:111" s="31" customFormat="1" ht="14.5" x14ac:dyDescent="0.35">
      <c r="B97" s="32">
        <v>4</v>
      </c>
      <c r="C97" s="32" t="s">
        <v>187</v>
      </c>
      <c r="D97" s="32" t="s">
        <v>105</v>
      </c>
      <c r="E97" s="32" t="s">
        <v>1379</v>
      </c>
      <c r="F97" s="32" t="s">
        <v>1380</v>
      </c>
      <c r="G97" s="32" t="s">
        <v>1381</v>
      </c>
      <c r="H97" s="32" t="s">
        <v>1382</v>
      </c>
      <c r="I97" s="32" t="s">
        <v>58</v>
      </c>
      <c r="J97" s="32" t="s">
        <v>1379</v>
      </c>
      <c r="K97" s="32" t="s">
        <v>59</v>
      </c>
      <c r="L97" s="37">
        <v>35679</v>
      </c>
      <c r="M97" s="32" t="s">
        <v>412</v>
      </c>
      <c r="N97" s="32" t="s">
        <v>129</v>
      </c>
      <c r="O97" s="32" t="s">
        <v>60</v>
      </c>
      <c r="P97" s="32" t="s">
        <v>321</v>
      </c>
      <c r="Q97" s="32" t="s">
        <v>322</v>
      </c>
      <c r="R97" s="32" t="s">
        <v>783</v>
      </c>
      <c r="S97" s="32" t="s">
        <v>787</v>
      </c>
      <c r="T97" s="32" t="s">
        <v>137</v>
      </c>
      <c r="U97" s="32" t="s">
        <v>64</v>
      </c>
      <c r="V97" s="32" t="s">
        <v>1383</v>
      </c>
      <c r="W97" s="32" t="s">
        <v>896</v>
      </c>
      <c r="X97" s="32" t="s">
        <v>1384</v>
      </c>
      <c r="Y97" s="32"/>
      <c r="Z97" s="32"/>
      <c r="AA97" s="32"/>
      <c r="AB97" s="37">
        <v>45841</v>
      </c>
      <c r="AC97" s="50">
        <v>45930</v>
      </c>
      <c r="AD97" s="32" t="s">
        <v>1579</v>
      </c>
      <c r="AE97" s="36">
        <v>30</v>
      </c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6">
        <v>1</v>
      </c>
      <c r="AQ97" s="32" t="s">
        <v>1784</v>
      </c>
      <c r="AR97" s="32" t="s">
        <v>1784</v>
      </c>
      <c r="AS97" s="38">
        <v>1470</v>
      </c>
      <c r="AT97" s="68"/>
      <c r="AU97" s="36">
        <v>1470</v>
      </c>
      <c r="AV97" s="32"/>
      <c r="AW97" s="32"/>
      <c r="AX97" s="32"/>
      <c r="AY97" s="32"/>
      <c r="AZ97" s="32"/>
      <c r="BA97" s="32"/>
      <c r="BB97" s="32"/>
      <c r="BC97" s="32"/>
      <c r="BD97" s="32"/>
      <c r="BE97" s="36">
        <v>390</v>
      </c>
      <c r="BF97" s="32"/>
      <c r="BG97" s="36">
        <v>520</v>
      </c>
      <c r="BH97" s="32"/>
      <c r="BI97" s="32"/>
      <c r="BJ97" s="32"/>
      <c r="BK97" s="32"/>
      <c r="BL97" s="32"/>
      <c r="BM97" s="32"/>
      <c r="BN97" s="36">
        <v>98</v>
      </c>
      <c r="BO97" s="32"/>
      <c r="BP97" s="32"/>
      <c r="BQ97" s="32"/>
      <c r="BR97" s="32"/>
      <c r="BS97" s="36">
        <v>48.03</v>
      </c>
      <c r="BT97" s="36">
        <v>100</v>
      </c>
      <c r="BU97" s="36">
        <v>938.23</v>
      </c>
      <c r="BV97" s="32"/>
      <c r="BW97" s="32"/>
      <c r="BX97" s="32"/>
      <c r="BY97" s="39">
        <v>3564.26</v>
      </c>
      <c r="BZ97" s="32"/>
      <c r="CA97" s="32"/>
      <c r="CB97" s="32"/>
      <c r="CC97" s="32"/>
      <c r="CD97" s="32"/>
      <c r="CE97" s="36">
        <v>289.62</v>
      </c>
      <c r="CF97" s="32"/>
      <c r="CG97" s="36">
        <v>39.68</v>
      </c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6">
        <v>48.03</v>
      </c>
      <c r="CS97" s="32"/>
      <c r="CT97" s="32"/>
      <c r="CU97" s="32"/>
      <c r="CV97" s="36">
        <v>100</v>
      </c>
      <c r="CW97" s="32"/>
      <c r="CX97" s="32"/>
      <c r="CY97" s="39">
        <v>477.33</v>
      </c>
      <c r="CZ97" s="36">
        <v>195.5</v>
      </c>
      <c r="DA97" s="36">
        <v>65.17</v>
      </c>
      <c r="DB97" s="36">
        <v>10.14</v>
      </c>
      <c r="DC97" s="36">
        <v>17.09</v>
      </c>
      <c r="DD97" s="32"/>
      <c r="DE97" s="36">
        <v>9.85</v>
      </c>
      <c r="DF97" s="39">
        <v>297.75</v>
      </c>
      <c r="DG97" s="39">
        <v>3086.93</v>
      </c>
    </row>
    <row r="98" spans="2:111" s="31" customFormat="1" ht="14.5" x14ac:dyDescent="0.35">
      <c r="B98" s="20">
        <v>142</v>
      </c>
      <c r="C98" s="20" t="s">
        <v>187</v>
      </c>
      <c r="D98" s="20" t="s">
        <v>109</v>
      </c>
      <c r="E98" s="20" t="s">
        <v>140</v>
      </c>
      <c r="F98" s="20" t="s">
        <v>118</v>
      </c>
      <c r="G98" s="20" t="s">
        <v>143</v>
      </c>
      <c r="H98" s="20" t="s">
        <v>144</v>
      </c>
      <c r="I98" s="20" t="s">
        <v>58</v>
      </c>
      <c r="J98" s="20" t="s">
        <v>140</v>
      </c>
      <c r="K98" s="20" t="s">
        <v>59</v>
      </c>
      <c r="L98" s="21">
        <v>36447</v>
      </c>
      <c r="M98" s="20" t="s">
        <v>419</v>
      </c>
      <c r="N98" s="20" t="s">
        <v>129</v>
      </c>
      <c r="O98" s="20" t="s">
        <v>67</v>
      </c>
      <c r="P98" s="20" t="s">
        <v>1051</v>
      </c>
      <c r="Q98" s="20" t="s">
        <v>1052</v>
      </c>
      <c r="R98" s="20" t="s">
        <v>783</v>
      </c>
      <c r="S98" s="20" t="s">
        <v>106</v>
      </c>
      <c r="T98" s="20" t="s">
        <v>63</v>
      </c>
      <c r="U98" s="20" t="s">
        <v>64</v>
      </c>
      <c r="V98" s="20" t="s">
        <v>147</v>
      </c>
      <c r="W98" s="20" t="s">
        <v>891</v>
      </c>
      <c r="X98" s="20" t="s">
        <v>986</v>
      </c>
      <c r="Y98" s="20" t="s">
        <v>63</v>
      </c>
      <c r="Z98" s="20" t="s">
        <v>1529</v>
      </c>
      <c r="AA98" s="20" t="s">
        <v>1653</v>
      </c>
      <c r="AB98" s="21">
        <v>45544</v>
      </c>
      <c r="AC98" s="20"/>
      <c r="AD98" s="20"/>
      <c r="AE98" s="27">
        <v>30</v>
      </c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>
        <v>40</v>
      </c>
      <c r="AR98" s="20">
        <v>56</v>
      </c>
      <c r="AS98" s="29">
        <v>2163</v>
      </c>
      <c r="AT98" s="63"/>
      <c r="AU98" s="27">
        <v>2163</v>
      </c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7">
        <v>387.6</v>
      </c>
      <c r="BP98" s="20"/>
      <c r="BQ98" s="20"/>
      <c r="BR98" s="20"/>
      <c r="BS98" s="27">
        <v>96.07</v>
      </c>
      <c r="BT98" s="20"/>
      <c r="BU98" s="20"/>
      <c r="BV98" s="20">
        <v>277.58999999999997</v>
      </c>
      <c r="BW98" s="20">
        <v>54.08</v>
      </c>
      <c r="BX98" s="20"/>
      <c r="BY98" s="28">
        <v>2978.34</v>
      </c>
      <c r="BZ98" s="20"/>
      <c r="CA98" s="20">
        <v>865.2</v>
      </c>
      <c r="CB98" s="20"/>
      <c r="CC98" s="27"/>
      <c r="CD98" s="20"/>
      <c r="CE98" s="27">
        <v>288.23</v>
      </c>
      <c r="CF98" s="20"/>
      <c r="CG98" s="27">
        <v>39.49</v>
      </c>
      <c r="CH98" s="20"/>
      <c r="CI98" s="20"/>
      <c r="CJ98" s="20"/>
      <c r="CK98" s="20"/>
      <c r="CL98" s="20"/>
      <c r="CM98" s="27">
        <v>387.6</v>
      </c>
      <c r="CN98" s="20"/>
      <c r="CO98" s="20"/>
      <c r="CP98" s="20"/>
      <c r="CQ98" s="20"/>
      <c r="CR98" s="27">
        <v>96.07</v>
      </c>
      <c r="CS98" s="20"/>
      <c r="CT98" s="20"/>
      <c r="CU98" s="20"/>
      <c r="CV98" s="20"/>
      <c r="CW98" s="20"/>
      <c r="CX98" s="20"/>
      <c r="CY98" s="28">
        <v>1676.59</v>
      </c>
      <c r="CZ98" s="27">
        <v>194.55</v>
      </c>
      <c r="DA98" s="27">
        <v>64.849999999999994</v>
      </c>
      <c r="DB98" s="27">
        <v>10.09</v>
      </c>
      <c r="DC98" s="27">
        <v>17.010000000000002</v>
      </c>
      <c r="DD98" s="20">
        <v>21.62</v>
      </c>
      <c r="DE98" s="27">
        <v>9.8000000000000007</v>
      </c>
      <c r="DF98" s="28">
        <v>317.92</v>
      </c>
      <c r="DG98" s="28">
        <v>1301.75</v>
      </c>
    </row>
    <row r="99" spans="2:111" s="31" customFormat="1" ht="14.5" x14ac:dyDescent="0.35">
      <c r="B99" s="20">
        <v>147</v>
      </c>
      <c r="C99" s="20" t="s">
        <v>187</v>
      </c>
      <c r="D99" s="20" t="s">
        <v>109</v>
      </c>
      <c r="E99" s="20" t="s">
        <v>1075</v>
      </c>
      <c r="F99" s="20" t="s">
        <v>108</v>
      </c>
      <c r="G99" s="20" t="s">
        <v>465</v>
      </c>
      <c r="H99" s="20" t="s">
        <v>1076</v>
      </c>
      <c r="I99" s="20" t="s">
        <v>58</v>
      </c>
      <c r="J99" s="20" t="s">
        <v>1075</v>
      </c>
      <c r="K99" s="20" t="s">
        <v>59</v>
      </c>
      <c r="L99" s="21">
        <v>34786</v>
      </c>
      <c r="M99" s="20" t="s">
        <v>419</v>
      </c>
      <c r="N99" s="20" t="s">
        <v>327</v>
      </c>
      <c r="O99" s="20" t="s">
        <v>67</v>
      </c>
      <c r="P99" s="20" t="s">
        <v>1051</v>
      </c>
      <c r="Q99" s="20" t="s">
        <v>1052</v>
      </c>
      <c r="R99" s="20" t="s">
        <v>783</v>
      </c>
      <c r="S99" s="20" t="s">
        <v>780</v>
      </c>
      <c r="T99" s="20" t="s">
        <v>63</v>
      </c>
      <c r="U99" s="20" t="s">
        <v>64</v>
      </c>
      <c r="V99" s="20" t="s">
        <v>1077</v>
      </c>
      <c r="W99" s="20" t="s">
        <v>896</v>
      </c>
      <c r="X99" s="20" t="s">
        <v>1078</v>
      </c>
      <c r="Y99" s="20" t="s">
        <v>65</v>
      </c>
      <c r="Z99" s="20" t="s">
        <v>1529</v>
      </c>
      <c r="AA99" s="20" t="s">
        <v>1657</v>
      </c>
      <c r="AB99" s="21">
        <v>45670</v>
      </c>
      <c r="AC99" s="20"/>
      <c r="AD99" s="20"/>
      <c r="AE99" s="27">
        <v>30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>
        <v>49</v>
      </c>
      <c r="AR99" s="20" t="s">
        <v>1784</v>
      </c>
      <c r="AS99" s="29">
        <v>2100</v>
      </c>
      <c r="AT99" s="63"/>
      <c r="AU99" s="27">
        <v>2100</v>
      </c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7">
        <v>325.3</v>
      </c>
      <c r="BP99" s="20"/>
      <c r="BQ99" s="20"/>
      <c r="BR99" s="20"/>
      <c r="BS99" s="27">
        <v>96.07</v>
      </c>
      <c r="BT99" s="20"/>
      <c r="BU99" s="20"/>
      <c r="BV99" s="20"/>
      <c r="BW99" s="20">
        <v>64.31</v>
      </c>
      <c r="BX99" s="20"/>
      <c r="BY99" s="28">
        <v>2585.6799999999998</v>
      </c>
      <c r="BZ99" s="20"/>
      <c r="CA99" s="20">
        <v>840</v>
      </c>
      <c r="CB99" s="20"/>
      <c r="CC99" s="27"/>
      <c r="CD99" s="20"/>
      <c r="CE99" s="27">
        <v>248.96</v>
      </c>
      <c r="CF99" s="20"/>
      <c r="CG99" s="27">
        <v>34.11</v>
      </c>
      <c r="CH99" s="20"/>
      <c r="CI99" s="20"/>
      <c r="CJ99" s="20"/>
      <c r="CK99" s="20"/>
      <c r="CL99" s="20"/>
      <c r="CM99" s="27">
        <v>325.3</v>
      </c>
      <c r="CN99" s="20"/>
      <c r="CO99" s="20"/>
      <c r="CP99" s="20"/>
      <c r="CQ99" s="20"/>
      <c r="CR99" s="27">
        <v>96.07</v>
      </c>
      <c r="CS99" s="20"/>
      <c r="CT99" s="20"/>
      <c r="CU99" s="20"/>
      <c r="CV99" s="20"/>
      <c r="CW99" s="20"/>
      <c r="CX99" s="20"/>
      <c r="CY99" s="28">
        <v>1544.44</v>
      </c>
      <c r="CZ99" s="27">
        <v>168.05</v>
      </c>
      <c r="DA99" s="27">
        <v>56.02</v>
      </c>
      <c r="DB99" s="27">
        <v>8.7100000000000009</v>
      </c>
      <c r="DC99" s="27">
        <v>14.69</v>
      </c>
      <c r="DD99" s="20">
        <v>18.670000000000002</v>
      </c>
      <c r="DE99" s="27">
        <v>8.4600000000000009</v>
      </c>
      <c r="DF99" s="28">
        <v>274.60000000000002</v>
      </c>
      <c r="DG99" s="28">
        <v>1041.24</v>
      </c>
    </row>
    <row r="100" spans="2:111" s="31" customFormat="1" ht="14.5" x14ac:dyDescent="0.35">
      <c r="B100" s="20">
        <v>153</v>
      </c>
      <c r="C100" s="20" t="s">
        <v>187</v>
      </c>
      <c r="D100" s="20" t="s">
        <v>109</v>
      </c>
      <c r="E100" s="20" t="s">
        <v>286</v>
      </c>
      <c r="F100" s="20" t="s">
        <v>331</v>
      </c>
      <c r="G100" s="20" t="s">
        <v>680</v>
      </c>
      <c r="H100" s="20" t="s">
        <v>681</v>
      </c>
      <c r="I100" s="20" t="s">
        <v>58</v>
      </c>
      <c r="J100" s="20" t="s">
        <v>286</v>
      </c>
      <c r="K100" s="20" t="s">
        <v>59</v>
      </c>
      <c r="L100" s="21">
        <v>31186</v>
      </c>
      <c r="M100" s="20" t="s">
        <v>419</v>
      </c>
      <c r="N100" s="20" t="s">
        <v>327</v>
      </c>
      <c r="O100" s="20" t="s">
        <v>67</v>
      </c>
      <c r="P100" s="20" t="s">
        <v>83</v>
      </c>
      <c r="Q100" s="20" t="s">
        <v>84</v>
      </c>
      <c r="R100" s="20" t="s">
        <v>779</v>
      </c>
      <c r="S100" s="20" t="s">
        <v>780</v>
      </c>
      <c r="T100" s="20" t="s">
        <v>137</v>
      </c>
      <c r="U100" s="20" t="s">
        <v>64</v>
      </c>
      <c r="V100" s="20" t="s">
        <v>865</v>
      </c>
      <c r="W100" s="20" t="s">
        <v>891</v>
      </c>
      <c r="X100" s="20" t="s">
        <v>992</v>
      </c>
      <c r="Y100" s="20" t="s">
        <v>137</v>
      </c>
      <c r="Z100" s="20" t="s">
        <v>1529</v>
      </c>
      <c r="AA100" s="20" t="s">
        <v>1662</v>
      </c>
      <c r="AB100" s="21">
        <v>44236</v>
      </c>
      <c r="AC100" s="20"/>
      <c r="AD100" s="20"/>
      <c r="AE100" s="27">
        <v>30</v>
      </c>
      <c r="AF100" s="20"/>
      <c r="AG100" s="20"/>
      <c r="AH100" s="20"/>
      <c r="AI100" s="20"/>
      <c r="AJ100" s="20"/>
      <c r="AK100" s="20"/>
      <c r="AL100" s="20">
        <v>4</v>
      </c>
      <c r="AM100" s="20">
        <v>14</v>
      </c>
      <c r="AN100" s="20"/>
      <c r="AO100" s="20"/>
      <c r="AP100" s="20"/>
      <c r="AQ100" s="20">
        <v>51</v>
      </c>
      <c r="AR100" s="20">
        <v>32</v>
      </c>
      <c r="AS100" s="29">
        <v>3296</v>
      </c>
      <c r="AT100" s="63">
        <v>150</v>
      </c>
      <c r="AU100" s="27">
        <v>3296</v>
      </c>
      <c r="AV100" s="20">
        <v>150</v>
      </c>
      <c r="AW100" s="20">
        <v>71.790000000000006</v>
      </c>
      <c r="AX100" s="20">
        <v>271.38</v>
      </c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7">
        <v>420.1</v>
      </c>
      <c r="BP100" s="20"/>
      <c r="BQ100" s="20"/>
      <c r="BR100" s="20"/>
      <c r="BS100" s="27">
        <v>96.07</v>
      </c>
      <c r="BT100" s="20"/>
      <c r="BU100" s="20"/>
      <c r="BV100" s="20">
        <v>241.71</v>
      </c>
      <c r="BW100" s="20">
        <v>105.06</v>
      </c>
      <c r="BX100" s="20"/>
      <c r="BY100" s="28">
        <v>4652.1099999999997</v>
      </c>
      <c r="BZ100" s="20"/>
      <c r="CA100" s="20">
        <v>1318.4</v>
      </c>
      <c r="CB100" s="20"/>
      <c r="CC100" s="27">
        <v>246.34</v>
      </c>
      <c r="CD100" s="20"/>
      <c r="CE100" s="27">
        <v>455.6</v>
      </c>
      <c r="CF100" s="20">
        <v>70.62</v>
      </c>
      <c r="CG100" s="27">
        <v>62.42</v>
      </c>
      <c r="CH100" s="20"/>
      <c r="CI100" s="20"/>
      <c r="CJ100" s="20"/>
      <c r="CK100" s="20"/>
      <c r="CL100" s="20"/>
      <c r="CM100" s="27">
        <v>420.1</v>
      </c>
      <c r="CN100" s="20"/>
      <c r="CO100" s="20"/>
      <c r="CP100" s="20"/>
      <c r="CQ100" s="20"/>
      <c r="CR100" s="27">
        <v>96.07</v>
      </c>
      <c r="CS100" s="20"/>
      <c r="CT100" s="20"/>
      <c r="CU100" s="20"/>
      <c r="CV100" s="20"/>
      <c r="CW100" s="20">
        <v>329.6</v>
      </c>
      <c r="CX100" s="20"/>
      <c r="CY100" s="28">
        <v>2999.15</v>
      </c>
      <c r="CZ100" s="27">
        <v>307.52999999999997</v>
      </c>
      <c r="DA100" s="27">
        <v>102.51</v>
      </c>
      <c r="DB100" s="27">
        <v>15.95</v>
      </c>
      <c r="DC100" s="27">
        <v>26.88</v>
      </c>
      <c r="DD100" s="20">
        <v>34.17</v>
      </c>
      <c r="DE100" s="27">
        <v>15.49</v>
      </c>
      <c r="DF100" s="28">
        <v>502.53</v>
      </c>
      <c r="DG100" s="28">
        <v>1652.96</v>
      </c>
    </row>
    <row r="101" spans="2:111" s="31" customFormat="1" ht="14.5" x14ac:dyDescent="0.35">
      <c r="B101" s="20">
        <v>72</v>
      </c>
      <c r="C101" s="20" t="s">
        <v>187</v>
      </c>
      <c r="D101" s="20" t="s">
        <v>105</v>
      </c>
      <c r="E101" s="20" t="s">
        <v>1156</v>
      </c>
      <c r="F101" s="20" t="s">
        <v>399</v>
      </c>
      <c r="G101" s="20" t="s">
        <v>145</v>
      </c>
      <c r="H101" s="20" t="s">
        <v>1157</v>
      </c>
      <c r="I101" s="20" t="s">
        <v>58</v>
      </c>
      <c r="J101" s="20" t="s">
        <v>1156</v>
      </c>
      <c r="K101" s="20" t="s">
        <v>59</v>
      </c>
      <c r="L101" s="21">
        <v>32879</v>
      </c>
      <c r="M101" s="20" t="s">
        <v>412</v>
      </c>
      <c r="N101" s="20" t="s">
        <v>327</v>
      </c>
      <c r="O101" s="20" t="s">
        <v>60</v>
      </c>
      <c r="P101" s="20" t="s">
        <v>321</v>
      </c>
      <c r="Q101" s="20" t="s">
        <v>322</v>
      </c>
      <c r="R101" s="20" t="s">
        <v>783</v>
      </c>
      <c r="S101" s="20" t="s">
        <v>787</v>
      </c>
      <c r="T101" s="20" t="s">
        <v>63</v>
      </c>
      <c r="U101" s="20" t="s">
        <v>64</v>
      </c>
      <c r="V101" s="20" t="s">
        <v>1158</v>
      </c>
      <c r="W101" s="20" t="s">
        <v>893</v>
      </c>
      <c r="X101" s="20" t="s">
        <v>1159</v>
      </c>
      <c r="Y101" s="20" t="s">
        <v>63</v>
      </c>
      <c r="Z101" s="20" t="s">
        <v>1529</v>
      </c>
      <c r="AA101" s="20" t="s">
        <v>1597</v>
      </c>
      <c r="AB101" s="21">
        <v>45733</v>
      </c>
      <c r="AC101" s="20"/>
      <c r="AD101" s="20"/>
      <c r="AE101" s="27">
        <v>30</v>
      </c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>
        <v>1</v>
      </c>
      <c r="AQ101" s="20" t="s">
        <v>1784</v>
      </c>
      <c r="AR101" s="20" t="s">
        <v>1784</v>
      </c>
      <c r="AS101" s="29">
        <v>1470</v>
      </c>
      <c r="AT101" s="63"/>
      <c r="AU101" s="27">
        <v>1470</v>
      </c>
      <c r="AV101" s="20"/>
      <c r="AW101" s="20"/>
      <c r="AX101" s="20"/>
      <c r="AY101" s="20"/>
      <c r="AZ101" s="20"/>
      <c r="BA101" s="20"/>
      <c r="BB101" s="20"/>
      <c r="BC101" s="20"/>
      <c r="BD101" s="20"/>
      <c r="BE101" s="20">
        <v>390</v>
      </c>
      <c r="BF101" s="20"/>
      <c r="BG101" s="20">
        <v>520</v>
      </c>
      <c r="BH101" s="20"/>
      <c r="BI101" s="20"/>
      <c r="BJ101" s="20"/>
      <c r="BK101" s="20"/>
      <c r="BL101" s="20"/>
      <c r="BM101" s="20"/>
      <c r="BN101" s="20">
        <v>98</v>
      </c>
      <c r="BO101" s="27"/>
      <c r="BP101" s="20"/>
      <c r="BQ101" s="20"/>
      <c r="BR101" s="20"/>
      <c r="BS101" s="27">
        <v>48.03</v>
      </c>
      <c r="BT101" s="20"/>
      <c r="BU101" s="20"/>
      <c r="BV101" s="20"/>
      <c r="BW101" s="20"/>
      <c r="BX101" s="20"/>
      <c r="BY101" s="28">
        <v>2526.0300000000002</v>
      </c>
      <c r="BZ101" s="20"/>
      <c r="CA101" s="20"/>
      <c r="CB101" s="20"/>
      <c r="CC101" s="27"/>
      <c r="CD101" s="20"/>
      <c r="CE101" s="27">
        <v>195.8</v>
      </c>
      <c r="CF101" s="20"/>
      <c r="CG101" s="27">
        <v>26.82</v>
      </c>
      <c r="CH101" s="20"/>
      <c r="CI101" s="20"/>
      <c r="CJ101" s="20"/>
      <c r="CK101" s="20"/>
      <c r="CL101" s="20"/>
      <c r="CM101" s="27"/>
      <c r="CN101" s="20"/>
      <c r="CO101" s="20"/>
      <c r="CP101" s="20"/>
      <c r="CQ101" s="20"/>
      <c r="CR101" s="27">
        <v>48.03</v>
      </c>
      <c r="CS101" s="20"/>
      <c r="CT101" s="20"/>
      <c r="CU101" s="20"/>
      <c r="CV101" s="20"/>
      <c r="CW101" s="20"/>
      <c r="CX101" s="20"/>
      <c r="CY101" s="28">
        <v>270.64999999999998</v>
      </c>
      <c r="CZ101" s="27">
        <v>132.16999999999999</v>
      </c>
      <c r="DA101" s="27">
        <v>44.06</v>
      </c>
      <c r="DB101" s="27"/>
      <c r="DC101" s="27"/>
      <c r="DD101" s="20"/>
      <c r="DE101" s="27">
        <v>6.66</v>
      </c>
      <c r="DF101" s="28">
        <v>182.89</v>
      </c>
      <c r="DG101" s="28">
        <v>2255.38</v>
      </c>
    </row>
    <row r="102" spans="2:111" s="31" customFormat="1" ht="14.5" x14ac:dyDescent="0.35">
      <c r="B102" s="32">
        <v>172</v>
      </c>
      <c r="C102" s="32" t="s">
        <v>187</v>
      </c>
      <c r="D102" s="32" t="s">
        <v>109</v>
      </c>
      <c r="E102" s="32" t="s">
        <v>296</v>
      </c>
      <c r="F102" s="32" t="s">
        <v>703</v>
      </c>
      <c r="G102" s="32" t="s">
        <v>611</v>
      </c>
      <c r="H102" s="32" t="s">
        <v>711</v>
      </c>
      <c r="I102" s="32" t="s">
        <v>58</v>
      </c>
      <c r="J102" s="32" t="s">
        <v>296</v>
      </c>
      <c r="K102" s="32" t="s">
        <v>59</v>
      </c>
      <c r="L102" s="37">
        <v>35795</v>
      </c>
      <c r="M102" s="32" t="s">
        <v>419</v>
      </c>
      <c r="N102" s="32" t="s">
        <v>327</v>
      </c>
      <c r="O102" s="32" t="s">
        <v>67</v>
      </c>
      <c r="P102" s="32" t="s">
        <v>83</v>
      </c>
      <c r="Q102" s="32" t="s">
        <v>84</v>
      </c>
      <c r="R102" s="32" t="s">
        <v>783</v>
      </c>
      <c r="S102" s="32" t="s">
        <v>780</v>
      </c>
      <c r="T102" s="32" t="s">
        <v>63</v>
      </c>
      <c r="U102" s="32" t="s">
        <v>64</v>
      </c>
      <c r="V102" s="32" t="s">
        <v>873</v>
      </c>
      <c r="W102" s="32" t="s">
        <v>891</v>
      </c>
      <c r="X102" s="32" t="s">
        <v>1002</v>
      </c>
      <c r="Y102" s="32" t="s">
        <v>63</v>
      </c>
      <c r="Z102" s="32" t="s">
        <v>1529</v>
      </c>
      <c r="AA102" s="32" t="s">
        <v>1677</v>
      </c>
      <c r="AB102" s="37">
        <v>45342</v>
      </c>
      <c r="AC102" s="50">
        <v>45930</v>
      </c>
      <c r="AD102" s="32" t="s">
        <v>1579</v>
      </c>
      <c r="AE102" s="36">
        <v>22</v>
      </c>
      <c r="AF102" s="32"/>
      <c r="AG102" s="32">
        <v>8</v>
      </c>
      <c r="AH102" s="32"/>
      <c r="AI102" s="32"/>
      <c r="AJ102" s="32"/>
      <c r="AK102" s="32"/>
      <c r="AL102" s="32"/>
      <c r="AM102" s="32"/>
      <c r="AN102" s="32"/>
      <c r="AO102" s="32"/>
      <c r="AP102" s="32"/>
      <c r="AQ102" s="32">
        <v>36</v>
      </c>
      <c r="AR102" s="32">
        <v>32</v>
      </c>
      <c r="AS102" s="38">
        <v>2163</v>
      </c>
      <c r="AT102" s="68"/>
      <c r="AU102" s="36">
        <v>1586.2</v>
      </c>
      <c r="AV102" s="32"/>
      <c r="AW102" s="32"/>
      <c r="AX102" s="32"/>
      <c r="AY102" s="32"/>
      <c r="AZ102" s="32">
        <v>782.66</v>
      </c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6">
        <v>313.89999999999998</v>
      </c>
      <c r="BP102" s="32"/>
      <c r="BQ102" s="32"/>
      <c r="BR102" s="32"/>
      <c r="BS102" s="36">
        <v>144.1</v>
      </c>
      <c r="BT102" s="32"/>
      <c r="BU102" s="32"/>
      <c r="BV102" s="32">
        <v>158.62</v>
      </c>
      <c r="BW102" s="32">
        <v>48.67</v>
      </c>
      <c r="BX102" s="32"/>
      <c r="BY102" s="39">
        <v>3034.15</v>
      </c>
      <c r="BZ102" s="32"/>
      <c r="CA102" s="32">
        <v>865.2</v>
      </c>
      <c r="CB102" s="32"/>
      <c r="CC102" s="36"/>
      <c r="CD102" s="32"/>
      <c r="CE102" s="36">
        <v>289.01</v>
      </c>
      <c r="CF102" s="32"/>
      <c r="CG102" s="36">
        <v>39.590000000000003</v>
      </c>
      <c r="CH102" s="32"/>
      <c r="CI102" s="32"/>
      <c r="CJ102" s="32"/>
      <c r="CK102" s="32"/>
      <c r="CL102" s="32"/>
      <c r="CM102" s="36">
        <v>313.89999999999998</v>
      </c>
      <c r="CN102" s="32"/>
      <c r="CO102" s="32"/>
      <c r="CP102" s="32"/>
      <c r="CQ102" s="32"/>
      <c r="CR102" s="36">
        <v>144.1</v>
      </c>
      <c r="CS102" s="32"/>
      <c r="CT102" s="32"/>
      <c r="CU102" s="32"/>
      <c r="CV102" s="32"/>
      <c r="CW102" s="32"/>
      <c r="CX102" s="32"/>
      <c r="CY102" s="39">
        <v>1651.8</v>
      </c>
      <c r="CZ102" s="36">
        <v>195.08</v>
      </c>
      <c r="DA102" s="36">
        <v>65.03</v>
      </c>
      <c r="DB102" s="36">
        <v>10.119999999999999</v>
      </c>
      <c r="DC102" s="36">
        <v>17.05</v>
      </c>
      <c r="DD102" s="32">
        <v>21.68</v>
      </c>
      <c r="DE102" s="36">
        <v>9.83</v>
      </c>
      <c r="DF102" s="39">
        <v>318.79000000000002</v>
      </c>
      <c r="DG102" s="39">
        <v>1382.35</v>
      </c>
    </row>
    <row r="103" spans="2:111" s="31" customFormat="1" ht="14.5" x14ac:dyDescent="0.35">
      <c r="B103" s="20">
        <v>83</v>
      </c>
      <c r="C103" s="20" t="s">
        <v>187</v>
      </c>
      <c r="D103" s="20" t="s">
        <v>109</v>
      </c>
      <c r="E103" s="20" t="s">
        <v>244</v>
      </c>
      <c r="F103" s="20" t="s">
        <v>86</v>
      </c>
      <c r="G103" s="20" t="s">
        <v>554</v>
      </c>
      <c r="H103" s="20" t="s">
        <v>555</v>
      </c>
      <c r="I103" s="20" t="s">
        <v>58</v>
      </c>
      <c r="J103" s="20" t="s">
        <v>244</v>
      </c>
      <c r="K103" s="20" t="s">
        <v>59</v>
      </c>
      <c r="L103" s="21">
        <v>28038</v>
      </c>
      <c r="M103" s="20" t="s">
        <v>556</v>
      </c>
      <c r="N103" s="20" t="s">
        <v>327</v>
      </c>
      <c r="O103" s="20" t="s">
        <v>67</v>
      </c>
      <c r="P103" s="20" t="s">
        <v>83</v>
      </c>
      <c r="Q103" s="20" t="s">
        <v>84</v>
      </c>
      <c r="R103" s="20" t="s">
        <v>779</v>
      </c>
      <c r="S103" s="20" t="s">
        <v>780</v>
      </c>
      <c r="T103" s="20" t="s">
        <v>137</v>
      </c>
      <c r="U103" s="20" t="s">
        <v>64</v>
      </c>
      <c r="V103" s="20" t="s">
        <v>831</v>
      </c>
      <c r="W103" s="20" t="s">
        <v>891</v>
      </c>
      <c r="X103" s="20" t="s">
        <v>951</v>
      </c>
      <c r="Y103" s="20" t="s">
        <v>137</v>
      </c>
      <c r="Z103" s="20" t="s">
        <v>1529</v>
      </c>
      <c r="AA103" s="20" t="s">
        <v>1607</v>
      </c>
      <c r="AB103" s="21">
        <v>44236</v>
      </c>
      <c r="AC103" s="20"/>
      <c r="AD103" s="20"/>
      <c r="AE103" s="27">
        <v>30</v>
      </c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>
        <v>13</v>
      </c>
      <c r="AR103" s="20" t="s">
        <v>1784</v>
      </c>
      <c r="AS103" s="29">
        <v>3636</v>
      </c>
      <c r="AT103" s="63">
        <v>113</v>
      </c>
      <c r="AU103" s="27">
        <v>3636</v>
      </c>
      <c r="AV103" s="20">
        <v>113</v>
      </c>
      <c r="AW103" s="20"/>
      <c r="AX103" s="20"/>
      <c r="AY103" s="20"/>
      <c r="AZ103" s="20"/>
      <c r="BA103" s="20"/>
      <c r="BB103" s="20"/>
      <c r="BC103" s="20"/>
      <c r="BD103" s="20"/>
      <c r="BE103" s="20"/>
      <c r="BF103" s="20">
        <v>988</v>
      </c>
      <c r="BG103" s="20"/>
      <c r="BH103" s="20"/>
      <c r="BI103" s="20"/>
      <c r="BJ103" s="20"/>
      <c r="BK103" s="20"/>
      <c r="BL103" s="20"/>
      <c r="BM103" s="20"/>
      <c r="BN103" s="20"/>
      <c r="BO103" s="27">
        <v>269.7</v>
      </c>
      <c r="BP103" s="20"/>
      <c r="BQ103" s="20"/>
      <c r="BR103" s="20"/>
      <c r="BS103" s="27">
        <v>144.1</v>
      </c>
      <c r="BT103" s="20"/>
      <c r="BU103" s="20"/>
      <c r="BV103" s="20"/>
      <c r="BW103" s="20">
        <v>29.54</v>
      </c>
      <c r="BX103" s="20"/>
      <c r="BY103" s="28">
        <v>5180.34</v>
      </c>
      <c r="BZ103" s="20"/>
      <c r="CA103" s="20">
        <v>1454.4</v>
      </c>
      <c r="CB103" s="20"/>
      <c r="CC103" s="27">
        <v>347.15</v>
      </c>
      <c r="CD103" s="20"/>
      <c r="CE103" s="27">
        <v>404.82</v>
      </c>
      <c r="CF103" s="20">
        <v>62.75</v>
      </c>
      <c r="CG103" s="27">
        <v>55.46</v>
      </c>
      <c r="CH103" s="20"/>
      <c r="CI103" s="20"/>
      <c r="CJ103" s="20"/>
      <c r="CK103" s="20"/>
      <c r="CL103" s="20"/>
      <c r="CM103" s="27">
        <v>269.7</v>
      </c>
      <c r="CN103" s="20"/>
      <c r="CO103" s="20"/>
      <c r="CP103" s="20"/>
      <c r="CQ103" s="20"/>
      <c r="CR103" s="27">
        <v>144.1</v>
      </c>
      <c r="CS103" s="20"/>
      <c r="CT103" s="20"/>
      <c r="CU103" s="20"/>
      <c r="CV103" s="20"/>
      <c r="CW103" s="20">
        <v>200</v>
      </c>
      <c r="CX103" s="20"/>
      <c r="CY103" s="28">
        <v>2938.38</v>
      </c>
      <c r="CZ103" s="27">
        <v>273.26</v>
      </c>
      <c r="DA103" s="27">
        <v>91.09</v>
      </c>
      <c r="DB103" s="27">
        <v>14.17</v>
      </c>
      <c r="DC103" s="27">
        <v>23.88</v>
      </c>
      <c r="DD103" s="20">
        <v>30.36</v>
      </c>
      <c r="DE103" s="27">
        <v>13.76</v>
      </c>
      <c r="DF103" s="28">
        <v>446.52</v>
      </c>
      <c r="DG103" s="28">
        <v>2241.96</v>
      </c>
    </row>
    <row r="104" spans="2:111" s="31" customFormat="1" ht="14.5" x14ac:dyDescent="0.35">
      <c r="B104" s="20">
        <v>108</v>
      </c>
      <c r="C104" s="20" t="s">
        <v>187</v>
      </c>
      <c r="D104" s="20" t="s">
        <v>105</v>
      </c>
      <c r="E104" s="20" t="s">
        <v>1070</v>
      </c>
      <c r="F104" s="20" t="s">
        <v>592</v>
      </c>
      <c r="G104" s="20" t="s">
        <v>1071</v>
      </c>
      <c r="H104" s="20" t="s">
        <v>1072</v>
      </c>
      <c r="I104" s="20" t="s">
        <v>58</v>
      </c>
      <c r="J104" s="20" t="s">
        <v>1070</v>
      </c>
      <c r="K104" s="20" t="s">
        <v>59</v>
      </c>
      <c r="L104" s="21">
        <v>33784</v>
      </c>
      <c r="M104" s="20" t="s">
        <v>412</v>
      </c>
      <c r="N104" s="20" t="s">
        <v>327</v>
      </c>
      <c r="O104" s="20" t="s">
        <v>60</v>
      </c>
      <c r="P104" s="20" t="s">
        <v>346</v>
      </c>
      <c r="Q104" s="20" t="s">
        <v>347</v>
      </c>
      <c r="R104" s="20" t="s">
        <v>783</v>
      </c>
      <c r="S104" s="20" t="s">
        <v>787</v>
      </c>
      <c r="T104" s="20" t="s">
        <v>63</v>
      </c>
      <c r="U104" s="20" t="s">
        <v>64</v>
      </c>
      <c r="V104" s="20" t="s">
        <v>1073</v>
      </c>
      <c r="W104" s="20" t="s">
        <v>898</v>
      </c>
      <c r="X104" s="20" t="s">
        <v>1074</v>
      </c>
      <c r="Y104" s="20" t="s">
        <v>63</v>
      </c>
      <c r="Z104" s="20" t="s">
        <v>1529</v>
      </c>
      <c r="AA104" s="20" t="s">
        <v>1627</v>
      </c>
      <c r="AB104" s="21">
        <v>45663</v>
      </c>
      <c r="AC104" s="20"/>
      <c r="AD104" s="20"/>
      <c r="AE104" s="27">
        <v>30</v>
      </c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>
        <v>1</v>
      </c>
      <c r="AQ104" s="20" t="s">
        <v>1784</v>
      </c>
      <c r="AR104" s="20" t="s">
        <v>1784</v>
      </c>
      <c r="AS104" s="29">
        <v>1470</v>
      </c>
      <c r="AT104" s="63">
        <v>113</v>
      </c>
      <c r="AU104" s="27">
        <v>1470</v>
      </c>
      <c r="AV104" s="20">
        <v>113</v>
      </c>
      <c r="AW104" s="20"/>
      <c r="AX104" s="20"/>
      <c r="AY104" s="20"/>
      <c r="AZ104" s="20"/>
      <c r="BA104" s="20"/>
      <c r="BB104" s="20"/>
      <c r="BC104" s="20"/>
      <c r="BD104" s="20"/>
      <c r="BE104" s="20">
        <v>390</v>
      </c>
      <c r="BF104" s="20"/>
      <c r="BG104" s="20">
        <v>520</v>
      </c>
      <c r="BH104" s="20"/>
      <c r="BI104" s="20"/>
      <c r="BJ104" s="20"/>
      <c r="BK104" s="20"/>
      <c r="BL104" s="20"/>
      <c r="BM104" s="20"/>
      <c r="BN104" s="20">
        <v>105.53</v>
      </c>
      <c r="BO104" s="27"/>
      <c r="BP104" s="20"/>
      <c r="BQ104" s="20"/>
      <c r="BR104" s="20"/>
      <c r="BS104" s="27">
        <v>48.03</v>
      </c>
      <c r="BT104" s="20"/>
      <c r="BU104" s="20"/>
      <c r="BV104" s="20"/>
      <c r="BW104" s="20"/>
      <c r="BX104" s="20"/>
      <c r="BY104" s="28">
        <v>2646.56</v>
      </c>
      <c r="BZ104" s="20"/>
      <c r="CA104" s="20"/>
      <c r="CB104" s="20"/>
      <c r="CC104" s="27"/>
      <c r="CD104" s="20"/>
      <c r="CE104" s="27">
        <v>207.85</v>
      </c>
      <c r="CF104" s="20"/>
      <c r="CG104" s="27">
        <v>28.48</v>
      </c>
      <c r="CH104" s="20"/>
      <c r="CI104" s="20"/>
      <c r="CJ104" s="20"/>
      <c r="CK104" s="20"/>
      <c r="CL104" s="20"/>
      <c r="CM104" s="27"/>
      <c r="CN104" s="20"/>
      <c r="CO104" s="20"/>
      <c r="CP104" s="20"/>
      <c r="CQ104" s="20"/>
      <c r="CR104" s="27">
        <v>48.03</v>
      </c>
      <c r="CS104" s="20">
        <v>9.8000000000000007</v>
      </c>
      <c r="CT104" s="20"/>
      <c r="CU104" s="20"/>
      <c r="CV104" s="20"/>
      <c r="CW104" s="20"/>
      <c r="CX104" s="20"/>
      <c r="CY104" s="28">
        <v>294.16000000000003</v>
      </c>
      <c r="CZ104" s="27">
        <v>140.30000000000001</v>
      </c>
      <c r="DA104" s="27">
        <v>46.77</v>
      </c>
      <c r="DB104" s="27">
        <v>7.27</v>
      </c>
      <c r="DC104" s="27">
        <v>12.26</v>
      </c>
      <c r="DD104" s="20"/>
      <c r="DE104" s="27">
        <v>7.07</v>
      </c>
      <c r="DF104" s="28">
        <v>213.67</v>
      </c>
      <c r="DG104" s="28">
        <v>2352.4</v>
      </c>
    </row>
    <row r="105" spans="2:111" s="31" customFormat="1" ht="14.5" x14ac:dyDescent="0.35">
      <c r="B105" s="20">
        <v>99</v>
      </c>
      <c r="C105" s="20" t="s">
        <v>187</v>
      </c>
      <c r="D105" s="20" t="s">
        <v>105</v>
      </c>
      <c r="E105" s="20" t="s">
        <v>256</v>
      </c>
      <c r="F105" s="20" t="s">
        <v>583</v>
      </c>
      <c r="G105" s="20" t="s">
        <v>586</v>
      </c>
      <c r="H105" s="20" t="s">
        <v>587</v>
      </c>
      <c r="I105" s="20" t="s">
        <v>58</v>
      </c>
      <c r="J105" s="20" t="s">
        <v>256</v>
      </c>
      <c r="K105" s="20" t="s">
        <v>59</v>
      </c>
      <c r="L105" s="21">
        <v>35606</v>
      </c>
      <c r="M105" s="20" t="s">
        <v>588</v>
      </c>
      <c r="N105" s="20" t="s">
        <v>132</v>
      </c>
      <c r="O105" s="20" t="s">
        <v>75</v>
      </c>
      <c r="P105" s="20" t="s">
        <v>512</v>
      </c>
      <c r="Q105" s="20" t="s">
        <v>513</v>
      </c>
      <c r="R105" s="20" t="s">
        <v>783</v>
      </c>
      <c r="S105" s="20" t="s">
        <v>787</v>
      </c>
      <c r="T105" s="20" t="s">
        <v>65</v>
      </c>
      <c r="U105" s="20" t="s">
        <v>73</v>
      </c>
      <c r="V105" s="20">
        <v>1.1028475020084499E+17</v>
      </c>
      <c r="W105" s="20" t="s">
        <v>891</v>
      </c>
      <c r="X105" s="20" t="s">
        <v>961</v>
      </c>
      <c r="Y105" s="20" t="s">
        <v>1566</v>
      </c>
      <c r="Z105" s="20" t="s">
        <v>1529</v>
      </c>
      <c r="AA105" s="20" t="s">
        <v>1620</v>
      </c>
      <c r="AB105" s="21">
        <v>45323</v>
      </c>
      <c r="AC105" s="20"/>
      <c r="AD105" s="20"/>
      <c r="AE105" s="27">
        <v>30</v>
      </c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 t="s">
        <v>1784</v>
      </c>
      <c r="AR105" s="20" t="s">
        <v>1784</v>
      </c>
      <c r="AS105" s="29">
        <v>3328</v>
      </c>
      <c r="AT105" s="63"/>
      <c r="AU105" s="27">
        <v>3328</v>
      </c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7">
        <v>265.10000000000002</v>
      </c>
      <c r="BP105" s="20"/>
      <c r="BQ105" s="20"/>
      <c r="BR105" s="20"/>
      <c r="BS105" s="27">
        <v>48.03</v>
      </c>
      <c r="BT105" s="20"/>
      <c r="BU105" s="20"/>
      <c r="BV105" s="20"/>
      <c r="BW105" s="20"/>
      <c r="BX105" s="20"/>
      <c r="BY105" s="28">
        <v>3641.13</v>
      </c>
      <c r="BZ105" s="20"/>
      <c r="CA105" s="20"/>
      <c r="CB105" s="20"/>
      <c r="CC105" s="27">
        <v>117.76</v>
      </c>
      <c r="CD105" s="20"/>
      <c r="CE105" s="27">
        <v>359.31</v>
      </c>
      <c r="CF105" s="20"/>
      <c r="CG105" s="27">
        <v>49.23</v>
      </c>
      <c r="CH105" s="20"/>
      <c r="CI105" s="20"/>
      <c r="CJ105" s="20"/>
      <c r="CK105" s="20"/>
      <c r="CL105" s="20"/>
      <c r="CM105" s="27">
        <v>265.10000000000002</v>
      </c>
      <c r="CN105" s="20"/>
      <c r="CO105" s="20"/>
      <c r="CP105" s="20"/>
      <c r="CQ105" s="20"/>
      <c r="CR105" s="27">
        <v>48.03</v>
      </c>
      <c r="CS105" s="20"/>
      <c r="CT105" s="20"/>
      <c r="CU105" s="20"/>
      <c r="CV105" s="20"/>
      <c r="CW105" s="20"/>
      <c r="CX105" s="20"/>
      <c r="CY105" s="28">
        <v>839.43</v>
      </c>
      <c r="CZ105" s="27">
        <v>242.53</v>
      </c>
      <c r="DA105" s="27">
        <v>80.84</v>
      </c>
      <c r="DB105" s="27">
        <v>12.58</v>
      </c>
      <c r="DC105" s="27">
        <v>21.2</v>
      </c>
      <c r="DD105" s="20"/>
      <c r="DE105" s="27">
        <v>12.22</v>
      </c>
      <c r="DF105" s="28">
        <v>369.37</v>
      </c>
      <c r="DG105" s="28">
        <v>2801.7</v>
      </c>
    </row>
    <row r="106" spans="2:111" s="31" customFormat="1" ht="14.5" x14ac:dyDescent="0.35">
      <c r="B106" s="20">
        <v>125</v>
      </c>
      <c r="C106" s="20" t="s">
        <v>187</v>
      </c>
      <c r="D106" s="20" t="s">
        <v>105</v>
      </c>
      <c r="E106" s="20" t="s">
        <v>1228</v>
      </c>
      <c r="F106" s="20" t="s">
        <v>1229</v>
      </c>
      <c r="G106" s="20" t="s">
        <v>1230</v>
      </c>
      <c r="H106" s="20" t="s">
        <v>1231</v>
      </c>
      <c r="I106" s="20" t="s">
        <v>58</v>
      </c>
      <c r="J106" s="20" t="s">
        <v>1228</v>
      </c>
      <c r="K106" s="20" t="s">
        <v>59</v>
      </c>
      <c r="L106" s="21">
        <v>32731</v>
      </c>
      <c r="M106" s="20" t="s">
        <v>412</v>
      </c>
      <c r="N106" s="20" t="s">
        <v>129</v>
      </c>
      <c r="O106" s="20" t="s">
        <v>60</v>
      </c>
      <c r="P106" s="20" t="s">
        <v>321</v>
      </c>
      <c r="Q106" s="20" t="s">
        <v>322</v>
      </c>
      <c r="R106" s="20" t="s">
        <v>783</v>
      </c>
      <c r="S106" s="20" t="s">
        <v>787</v>
      </c>
      <c r="T106" s="20" t="s">
        <v>63</v>
      </c>
      <c r="U106" s="20" t="s">
        <v>64</v>
      </c>
      <c r="V106" s="20" t="s">
        <v>1232</v>
      </c>
      <c r="W106" s="20" t="s">
        <v>107</v>
      </c>
      <c r="X106" s="20"/>
      <c r="Y106" s="20" t="s">
        <v>63</v>
      </c>
      <c r="Z106" s="20" t="s">
        <v>1529</v>
      </c>
      <c r="AA106" s="20" t="s">
        <v>1643</v>
      </c>
      <c r="AB106" s="21">
        <v>45750</v>
      </c>
      <c r="AC106" s="20"/>
      <c r="AD106" s="20"/>
      <c r="AE106" s="27">
        <v>30</v>
      </c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>
        <v>1</v>
      </c>
      <c r="AQ106" s="20" t="s">
        <v>1784</v>
      </c>
      <c r="AR106" s="20" t="s">
        <v>1784</v>
      </c>
      <c r="AS106" s="29">
        <v>1470</v>
      </c>
      <c r="AT106" s="63"/>
      <c r="AU106" s="27">
        <v>1470</v>
      </c>
      <c r="AV106" s="20"/>
      <c r="AW106" s="20"/>
      <c r="AX106" s="20"/>
      <c r="AY106" s="20"/>
      <c r="AZ106" s="20"/>
      <c r="BA106" s="20"/>
      <c r="BB106" s="20"/>
      <c r="BC106" s="20"/>
      <c r="BD106" s="20"/>
      <c r="BE106" s="20">
        <v>390</v>
      </c>
      <c r="BF106" s="20"/>
      <c r="BG106" s="20">
        <v>520</v>
      </c>
      <c r="BH106" s="20"/>
      <c r="BI106" s="20"/>
      <c r="BJ106" s="20"/>
      <c r="BK106" s="20"/>
      <c r="BL106" s="20"/>
      <c r="BM106" s="20"/>
      <c r="BN106" s="20">
        <v>98</v>
      </c>
      <c r="BO106" s="27"/>
      <c r="BP106" s="20"/>
      <c r="BQ106" s="20"/>
      <c r="BR106" s="20"/>
      <c r="BS106" s="27">
        <v>96.06</v>
      </c>
      <c r="BT106" s="20"/>
      <c r="BU106" s="20">
        <v>374.22</v>
      </c>
      <c r="BV106" s="20"/>
      <c r="BW106" s="20"/>
      <c r="BX106" s="20"/>
      <c r="BY106" s="28">
        <v>2948.28</v>
      </c>
      <c r="BZ106" s="20"/>
      <c r="CA106" s="20"/>
      <c r="CB106" s="20">
        <v>303.19</v>
      </c>
      <c r="CC106" s="27"/>
      <c r="CD106" s="20"/>
      <c r="CE106" s="27"/>
      <c r="CF106" s="20"/>
      <c r="CG106" s="27"/>
      <c r="CH106" s="20"/>
      <c r="CI106" s="20"/>
      <c r="CJ106" s="20"/>
      <c r="CK106" s="20"/>
      <c r="CL106" s="20"/>
      <c r="CM106" s="27"/>
      <c r="CN106" s="20"/>
      <c r="CO106" s="20"/>
      <c r="CP106" s="20"/>
      <c r="CQ106" s="20"/>
      <c r="CR106" s="27">
        <v>96.06</v>
      </c>
      <c r="CS106" s="20"/>
      <c r="CT106" s="20"/>
      <c r="CU106" s="20"/>
      <c r="CV106" s="20"/>
      <c r="CW106" s="20"/>
      <c r="CX106" s="20"/>
      <c r="CY106" s="28">
        <v>399.25</v>
      </c>
      <c r="CZ106" s="27">
        <v>157.41999999999999</v>
      </c>
      <c r="DA106" s="27">
        <v>52.48</v>
      </c>
      <c r="DB106" s="27">
        <v>8.16</v>
      </c>
      <c r="DC106" s="27">
        <v>13.76</v>
      </c>
      <c r="DD106" s="20"/>
      <c r="DE106" s="27">
        <v>7.93</v>
      </c>
      <c r="DF106" s="28">
        <v>239.75</v>
      </c>
      <c r="DG106" s="28">
        <v>2549.0300000000002</v>
      </c>
    </row>
    <row r="107" spans="2:111" s="31" customFormat="1" ht="14.5" x14ac:dyDescent="0.35">
      <c r="B107" s="20">
        <v>101</v>
      </c>
      <c r="C107" s="20" t="s">
        <v>187</v>
      </c>
      <c r="D107" s="20" t="s">
        <v>126</v>
      </c>
      <c r="E107" s="20" t="s">
        <v>257</v>
      </c>
      <c r="F107" s="20" t="s">
        <v>589</v>
      </c>
      <c r="G107" s="20" t="s">
        <v>592</v>
      </c>
      <c r="H107" s="20" t="s">
        <v>593</v>
      </c>
      <c r="I107" s="20" t="s">
        <v>58</v>
      </c>
      <c r="J107" s="20" t="s">
        <v>257</v>
      </c>
      <c r="K107" s="20" t="s">
        <v>66</v>
      </c>
      <c r="L107" s="21">
        <v>32238</v>
      </c>
      <c r="M107" s="20" t="s">
        <v>594</v>
      </c>
      <c r="N107" s="20" t="s">
        <v>129</v>
      </c>
      <c r="O107" s="20" t="s">
        <v>75</v>
      </c>
      <c r="P107" s="20" t="s">
        <v>595</v>
      </c>
      <c r="Q107" s="20" t="s">
        <v>596</v>
      </c>
      <c r="R107" s="20" t="s">
        <v>779</v>
      </c>
      <c r="S107" s="20" t="s">
        <v>796</v>
      </c>
      <c r="T107" s="20" t="s">
        <v>65</v>
      </c>
      <c r="U107" s="20" t="s">
        <v>73</v>
      </c>
      <c r="V107" s="20" t="s">
        <v>842</v>
      </c>
      <c r="W107" s="20" t="s">
        <v>896</v>
      </c>
      <c r="X107" s="20" t="s">
        <v>962</v>
      </c>
      <c r="Y107" s="20" t="s">
        <v>65</v>
      </c>
      <c r="Z107" s="20" t="s">
        <v>1529</v>
      </c>
      <c r="AA107" s="20" t="s">
        <v>1621</v>
      </c>
      <c r="AB107" s="21">
        <v>44067</v>
      </c>
      <c r="AC107" s="20"/>
      <c r="AD107" s="20"/>
      <c r="AE107" s="27">
        <v>30</v>
      </c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 t="s">
        <v>1784</v>
      </c>
      <c r="AR107" s="20" t="s">
        <v>1784</v>
      </c>
      <c r="AS107" s="29">
        <v>39685</v>
      </c>
      <c r="AT107" s="63">
        <v>113</v>
      </c>
      <c r="AU107" s="27">
        <v>39685</v>
      </c>
      <c r="AV107" s="20">
        <v>113</v>
      </c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7"/>
      <c r="BP107" s="20"/>
      <c r="BQ107" s="20"/>
      <c r="BR107" s="20"/>
      <c r="BS107" s="27">
        <v>96.06</v>
      </c>
      <c r="BT107" s="20"/>
      <c r="BU107" s="20"/>
      <c r="BV107" s="20"/>
      <c r="BW107" s="20"/>
      <c r="BX107" s="20"/>
      <c r="BY107" s="28">
        <v>39894.06</v>
      </c>
      <c r="BZ107" s="20"/>
      <c r="CA107" s="20"/>
      <c r="CB107" s="20"/>
      <c r="CC107" s="27">
        <v>10311.07</v>
      </c>
      <c r="CD107" s="20"/>
      <c r="CE107" s="27">
        <v>3979.8</v>
      </c>
      <c r="CF107" s="20">
        <v>585.03</v>
      </c>
      <c r="CG107" s="27">
        <v>166.93</v>
      </c>
      <c r="CH107" s="20"/>
      <c r="CI107" s="20"/>
      <c r="CJ107" s="20"/>
      <c r="CK107" s="20"/>
      <c r="CL107" s="20"/>
      <c r="CM107" s="27"/>
      <c r="CN107" s="20"/>
      <c r="CO107" s="20"/>
      <c r="CP107" s="20"/>
      <c r="CQ107" s="20"/>
      <c r="CR107" s="27">
        <v>96.06</v>
      </c>
      <c r="CS107" s="20">
        <v>42.9</v>
      </c>
      <c r="CT107" s="20"/>
      <c r="CU107" s="20"/>
      <c r="CV107" s="20"/>
      <c r="CW107" s="20"/>
      <c r="CX107" s="20"/>
      <c r="CY107" s="28">
        <v>15181.79</v>
      </c>
      <c r="CZ107" s="27">
        <v>2686.37</v>
      </c>
      <c r="DA107" s="27">
        <v>895.46</v>
      </c>
      <c r="DB107" s="27">
        <v>42.65</v>
      </c>
      <c r="DC107" s="27">
        <v>234.81</v>
      </c>
      <c r="DD107" s="20"/>
      <c r="DE107" s="27">
        <v>41.43</v>
      </c>
      <c r="DF107" s="28">
        <v>3900.72</v>
      </c>
      <c r="DG107" s="28">
        <v>24712.27</v>
      </c>
    </row>
    <row r="108" spans="2:111" s="31" customFormat="1" ht="14.5" x14ac:dyDescent="0.35">
      <c r="B108" s="20">
        <v>132</v>
      </c>
      <c r="C108" s="20" t="s">
        <v>187</v>
      </c>
      <c r="D108" s="20" t="s">
        <v>105</v>
      </c>
      <c r="E108" s="20" t="s">
        <v>1483</v>
      </c>
      <c r="F108" s="20" t="s">
        <v>1484</v>
      </c>
      <c r="G108" s="20" t="s">
        <v>625</v>
      </c>
      <c r="H108" s="20" t="s">
        <v>1485</v>
      </c>
      <c r="I108" s="20" t="s">
        <v>58</v>
      </c>
      <c r="J108" s="20" t="s">
        <v>1483</v>
      </c>
      <c r="K108" s="20" t="s">
        <v>59</v>
      </c>
      <c r="L108" s="21">
        <v>32877</v>
      </c>
      <c r="M108" s="20" t="s">
        <v>412</v>
      </c>
      <c r="N108" s="20" t="s">
        <v>129</v>
      </c>
      <c r="O108" s="20" t="s">
        <v>60</v>
      </c>
      <c r="P108" s="20" t="s">
        <v>321</v>
      </c>
      <c r="Q108" s="20" t="s">
        <v>322</v>
      </c>
      <c r="R108" s="20" t="s">
        <v>783</v>
      </c>
      <c r="S108" s="20" t="s">
        <v>787</v>
      </c>
      <c r="T108" s="20" t="s">
        <v>138</v>
      </c>
      <c r="U108" s="20" t="s">
        <v>64</v>
      </c>
      <c r="V108" s="20" t="s">
        <v>1486</v>
      </c>
      <c r="W108" s="20" t="s">
        <v>898</v>
      </c>
      <c r="X108" s="20" t="s">
        <v>1487</v>
      </c>
      <c r="Y108" s="20"/>
      <c r="Z108" s="20"/>
      <c r="AA108" s="20"/>
      <c r="AB108" s="21">
        <v>45883</v>
      </c>
      <c r="AC108" s="20"/>
      <c r="AD108" s="20"/>
      <c r="AE108" s="27">
        <v>30</v>
      </c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>
        <v>1</v>
      </c>
      <c r="AQ108" s="20" t="s">
        <v>1784</v>
      </c>
      <c r="AR108" s="20" t="s">
        <v>1784</v>
      </c>
      <c r="AS108" s="29">
        <v>1680</v>
      </c>
      <c r="AT108" s="63"/>
      <c r="AU108" s="27">
        <v>1680</v>
      </c>
      <c r="AV108" s="20"/>
      <c r="AW108" s="20"/>
      <c r="AX108" s="20"/>
      <c r="AY108" s="20"/>
      <c r="AZ108" s="20"/>
      <c r="BA108" s="20"/>
      <c r="BB108" s="20"/>
      <c r="BC108" s="20"/>
      <c r="BD108" s="20"/>
      <c r="BE108" s="20">
        <v>390</v>
      </c>
      <c r="BF108" s="20"/>
      <c r="BG108" s="20">
        <v>520</v>
      </c>
      <c r="BH108" s="20"/>
      <c r="BI108" s="20"/>
      <c r="BJ108" s="20"/>
      <c r="BK108" s="20"/>
      <c r="BL108" s="20"/>
      <c r="BM108" s="20"/>
      <c r="BN108" s="20">
        <v>112</v>
      </c>
      <c r="BO108" s="27"/>
      <c r="BP108" s="20"/>
      <c r="BQ108" s="20"/>
      <c r="BR108" s="20"/>
      <c r="BS108" s="27">
        <v>48.03</v>
      </c>
      <c r="BT108" s="20"/>
      <c r="BU108" s="20">
        <v>420</v>
      </c>
      <c r="BV108" s="20"/>
      <c r="BW108" s="20"/>
      <c r="BX108" s="20"/>
      <c r="BY108" s="28">
        <v>3170.03</v>
      </c>
      <c r="BZ108" s="20"/>
      <c r="CA108" s="20"/>
      <c r="CB108" s="20"/>
      <c r="CC108" s="27"/>
      <c r="CD108" s="20"/>
      <c r="CE108" s="27">
        <v>260.2</v>
      </c>
      <c r="CF108" s="20"/>
      <c r="CG108" s="27">
        <v>35.65</v>
      </c>
      <c r="CH108" s="20"/>
      <c r="CI108" s="20"/>
      <c r="CJ108" s="20"/>
      <c r="CK108" s="20"/>
      <c r="CL108" s="20"/>
      <c r="CM108" s="27"/>
      <c r="CN108" s="20"/>
      <c r="CO108" s="20"/>
      <c r="CP108" s="20"/>
      <c r="CQ108" s="20"/>
      <c r="CR108" s="27">
        <v>48.03</v>
      </c>
      <c r="CS108" s="20"/>
      <c r="CT108" s="20"/>
      <c r="CU108" s="20"/>
      <c r="CV108" s="20"/>
      <c r="CW108" s="20"/>
      <c r="CX108" s="20"/>
      <c r="CY108" s="28">
        <v>343.88</v>
      </c>
      <c r="CZ108" s="27">
        <v>175.64</v>
      </c>
      <c r="DA108" s="27">
        <v>58.55</v>
      </c>
      <c r="DB108" s="27">
        <v>9.11</v>
      </c>
      <c r="DC108" s="27">
        <v>15.35</v>
      </c>
      <c r="DD108" s="20"/>
      <c r="DE108" s="27">
        <v>8.85</v>
      </c>
      <c r="DF108" s="28">
        <v>267.5</v>
      </c>
      <c r="DG108" s="28">
        <v>2826.15</v>
      </c>
    </row>
    <row r="109" spans="2:111" s="31" customFormat="1" ht="14.5" x14ac:dyDescent="0.35">
      <c r="B109" s="20">
        <v>103</v>
      </c>
      <c r="C109" s="20" t="s">
        <v>187</v>
      </c>
      <c r="D109" s="20" t="s">
        <v>105</v>
      </c>
      <c r="E109" s="20" t="s">
        <v>258</v>
      </c>
      <c r="F109" s="20" t="s">
        <v>597</v>
      </c>
      <c r="G109" s="20" t="s">
        <v>598</v>
      </c>
      <c r="H109" s="20" t="s">
        <v>599</v>
      </c>
      <c r="I109" s="20" t="s">
        <v>58</v>
      </c>
      <c r="J109" s="20" t="s">
        <v>258</v>
      </c>
      <c r="K109" s="20" t="s">
        <v>66</v>
      </c>
      <c r="L109" s="21">
        <v>36176</v>
      </c>
      <c r="M109" s="20" t="s">
        <v>600</v>
      </c>
      <c r="N109" s="20" t="s">
        <v>129</v>
      </c>
      <c r="O109" s="20" t="s">
        <v>522</v>
      </c>
      <c r="P109" s="20" t="s">
        <v>523</v>
      </c>
      <c r="Q109" s="20" t="s">
        <v>524</v>
      </c>
      <c r="R109" s="20" t="s">
        <v>783</v>
      </c>
      <c r="S109" s="20" t="s">
        <v>106</v>
      </c>
      <c r="T109" s="20" t="s">
        <v>137</v>
      </c>
      <c r="U109" s="20" t="s">
        <v>64</v>
      </c>
      <c r="V109" s="20" t="s">
        <v>843</v>
      </c>
      <c r="W109" s="20" t="s">
        <v>891</v>
      </c>
      <c r="X109" s="20" t="s">
        <v>963</v>
      </c>
      <c r="Y109" s="20" t="s">
        <v>1273</v>
      </c>
      <c r="Z109" s="20" t="s">
        <v>1529</v>
      </c>
      <c r="AA109" s="20" t="s">
        <v>1622</v>
      </c>
      <c r="AB109" s="21">
        <v>45132</v>
      </c>
      <c r="AC109" s="20"/>
      <c r="AD109" s="20"/>
      <c r="AE109" s="27">
        <v>30</v>
      </c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 t="s">
        <v>1784</v>
      </c>
      <c r="AR109" s="20" t="s">
        <v>1784</v>
      </c>
      <c r="AS109" s="29">
        <v>8653</v>
      </c>
      <c r="AT109" s="63"/>
      <c r="AU109" s="27">
        <v>8653</v>
      </c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7"/>
      <c r="BP109" s="20"/>
      <c r="BQ109" s="20"/>
      <c r="BR109" s="20"/>
      <c r="BS109" s="27">
        <v>48.03</v>
      </c>
      <c r="BT109" s="20"/>
      <c r="BU109" s="20"/>
      <c r="BV109" s="20"/>
      <c r="BW109" s="20"/>
      <c r="BX109" s="20"/>
      <c r="BY109" s="28">
        <v>8701.0300000000007</v>
      </c>
      <c r="BZ109" s="20"/>
      <c r="CA109" s="20"/>
      <c r="CB109" s="20"/>
      <c r="CC109" s="27">
        <v>866.94</v>
      </c>
      <c r="CD109" s="20"/>
      <c r="CE109" s="27">
        <v>865.3</v>
      </c>
      <c r="CF109" s="20"/>
      <c r="CG109" s="27">
        <v>118.55</v>
      </c>
      <c r="CH109" s="20"/>
      <c r="CI109" s="20">
        <v>130.22</v>
      </c>
      <c r="CJ109" s="20"/>
      <c r="CK109" s="20"/>
      <c r="CL109" s="20"/>
      <c r="CM109" s="27"/>
      <c r="CN109" s="20"/>
      <c r="CO109" s="20"/>
      <c r="CP109" s="20"/>
      <c r="CQ109" s="20"/>
      <c r="CR109" s="27">
        <v>48.03</v>
      </c>
      <c r="CS109" s="20"/>
      <c r="CT109" s="20"/>
      <c r="CU109" s="20"/>
      <c r="CV109" s="20"/>
      <c r="CW109" s="20"/>
      <c r="CX109" s="20"/>
      <c r="CY109" s="28">
        <v>2029.04</v>
      </c>
      <c r="CZ109" s="27">
        <v>584.08000000000004</v>
      </c>
      <c r="DA109" s="27">
        <v>194.69</v>
      </c>
      <c r="DB109" s="27">
        <v>30.29</v>
      </c>
      <c r="DC109" s="27">
        <v>51.05</v>
      </c>
      <c r="DD109" s="20"/>
      <c r="DE109" s="27">
        <v>29.42</v>
      </c>
      <c r="DF109" s="28">
        <v>889.53</v>
      </c>
      <c r="DG109" s="28">
        <v>6671.99</v>
      </c>
    </row>
    <row r="110" spans="2:111" s="31" customFormat="1" ht="14.5" x14ac:dyDescent="0.35">
      <c r="B110" s="20">
        <v>175</v>
      </c>
      <c r="C110" s="20" t="s">
        <v>187</v>
      </c>
      <c r="D110" s="20" t="s">
        <v>109</v>
      </c>
      <c r="E110" s="20" t="s">
        <v>299</v>
      </c>
      <c r="F110" s="20" t="s">
        <v>716</v>
      </c>
      <c r="G110" s="20" t="s">
        <v>717</v>
      </c>
      <c r="H110" s="20" t="s">
        <v>718</v>
      </c>
      <c r="I110" s="20" t="s">
        <v>58</v>
      </c>
      <c r="J110" s="20" t="s">
        <v>299</v>
      </c>
      <c r="K110" s="20" t="s">
        <v>59</v>
      </c>
      <c r="L110" s="21">
        <v>28773</v>
      </c>
      <c r="M110" s="20" t="s">
        <v>556</v>
      </c>
      <c r="N110" s="20" t="s">
        <v>327</v>
      </c>
      <c r="O110" s="20" t="s">
        <v>67</v>
      </c>
      <c r="P110" s="20" t="s">
        <v>83</v>
      </c>
      <c r="Q110" s="20" t="s">
        <v>84</v>
      </c>
      <c r="R110" s="20" t="s">
        <v>779</v>
      </c>
      <c r="S110" s="20" t="s">
        <v>780</v>
      </c>
      <c r="T110" s="20" t="s">
        <v>65</v>
      </c>
      <c r="U110" s="20" t="s">
        <v>73</v>
      </c>
      <c r="V110" s="20" t="s">
        <v>876</v>
      </c>
      <c r="W110" s="20" t="s">
        <v>893</v>
      </c>
      <c r="X110" s="20" t="s">
        <v>1005</v>
      </c>
      <c r="Y110" s="20" t="s">
        <v>65</v>
      </c>
      <c r="Z110" s="20" t="s">
        <v>1529</v>
      </c>
      <c r="AA110" s="20" t="s">
        <v>1680</v>
      </c>
      <c r="AB110" s="21">
        <v>44236</v>
      </c>
      <c r="AC110" s="20"/>
      <c r="AD110" s="20"/>
      <c r="AE110" s="27">
        <v>30</v>
      </c>
      <c r="AF110" s="20"/>
      <c r="AG110" s="20"/>
      <c r="AH110" s="20"/>
      <c r="AI110" s="20"/>
      <c r="AJ110" s="20"/>
      <c r="AK110" s="20"/>
      <c r="AL110" s="20">
        <v>4</v>
      </c>
      <c r="AM110" s="20">
        <v>17</v>
      </c>
      <c r="AN110" s="20"/>
      <c r="AO110" s="20">
        <v>12</v>
      </c>
      <c r="AP110" s="20"/>
      <c r="AQ110" s="20">
        <v>69</v>
      </c>
      <c r="AR110" s="20">
        <v>16</v>
      </c>
      <c r="AS110" s="29">
        <v>3636</v>
      </c>
      <c r="AT110" s="63">
        <v>113</v>
      </c>
      <c r="AU110" s="27">
        <v>3636</v>
      </c>
      <c r="AV110" s="20">
        <v>113</v>
      </c>
      <c r="AW110" s="20">
        <v>78.11</v>
      </c>
      <c r="AX110" s="20">
        <v>358.51</v>
      </c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>
        <v>374.91</v>
      </c>
      <c r="BM110" s="20"/>
      <c r="BN110" s="20"/>
      <c r="BO110" s="27">
        <v>384.9</v>
      </c>
      <c r="BP110" s="20"/>
      <c r="BQ110" s="20"/>
      <c r="BR110" s="20"/>
      <c r="BS110" s="27">
        <v>144.1</v>
      </c>
      <c r="BT110" s="20"/>
      <c r="BU110" s="20"/>
      <c r="BV110" s="20">
        <v>133.32</v>
      </c>
      <c r="BW110" s="20">
        <v>156.80000000000001</v>
      </c>
      <c r="BX110" s="20"/>
      <c r="BY110" s="28">
        <v>5379.65</v>
      </c>
      <c r="BZ110" s="20"/>
      <c r="CA110" s="20">
        <v>1454.4</v>
      </c>
      <c r="CB110" s="20"/>
      <c r="CC110" s="27">
        <v>377.89</v>
      </c>
      <c r="CD110" s="20"/>
      <c r="CE110" s="27">
        <v>523.55999999999995</v>
      </c>
      <c r="CF110" s="20">
        <v>88.48</v>
      </c>
      <c r="CG110" s="27">
        <v>71.73</v>
      </c>
      <c r="CH110" s="20"/>
      <c r="CI110" s="20"/>
      <c r="CJ110" s="20"/>
      <c r="CK110" s="20"/>
      <c r="CL110" s="20"/>
      <c r="CM110" s="27">
        <v>384.9</v>
      </c>
      <c r="CN110" s="20"/>
      <c r="CO110" s="20"/>
      <c r="CP110" s="20"/>
      <c r="CQ110" s="20"/>
      <c r="CR110" s="27">
        <v>144.1</v>
      </c>
      <c r="CS110" s="20"/>
      <c r="CT110" s="20"/>
      <c r="CU110" s="20"/>
      <c r="CV110" s="20"/>
      <c r="CW110" s="20"/>
      <c r="CX110" s="20"/>
      <c r="CY110" s="28">
        <v>3045.06</v>
      </c>
      <c r="CZ110" s="27">
        <v>353.4</v>
      </c>
      <c r="DA110" s="27">
        <v>117.8</v>
      </c>
      <c r="DB110" s="27">
        <v>18.32</v>
      </c>
      <c r="DC110" s="27">
        <v>30.89</v>
      </c>
      <c r="DD110" s="20">
        <v>39.270000000000003</v>
      </c>
      <c r="DE110" s="27">
        <v>17.8</v>
      </c>
      <c r="DF110" s="28">
        <v>577.48</v>
      </c>
      <c r="DG110" s="28">
        <v>2334.59</v>
      </c>
    </row>
    <row r="111" spans="2:111" s="31" customFormat="1" ht="14.5" x14ac:dyDescent="0.35">
      <c r="B111" s="20">
        <v>138</v>
      </c>
      <c r="C111" s="20" t="s">
        <v>187</v>
      </c>
      <c r="D111" s="20" t="s">
        <v>105</v>
      </c>
      <c r="E111" s="20" t="s">
        <v>1294</v>
      </c>
      <c r="F111" s="20" t="s">
        <v>1295</v>
      </c>
      <c r="G111" s="20" t="s">
        <v>1296</v>
      </c>
      <c r="H111" s="20" t="s">
        <v>1297</v>
      </c>
      <c r="I111" s="20" t="s">
        <v>58</v>
      </c>
      <c r="J111" s="20" t="s">
        <v>1294</v>
      </c>
      <c r="K111" s="20" t="s">
        <v>59</v>
      </c>
      <c r="L111" s="21">
        <v>30339</v>
      </c>
      <c r="M111" s="20" t="s">
        <v>412</v>
      </c>
      <c r="N111" s="20" t="s">
        <v>129</v>
      </c>
      <c r="O111" s="20" t="s">
        <v>60</v>
      </c>
      <c r="P111" s="20" t="s">
        <v>321</v>
      </c>
      <c r="Q111" s="20" t="s">
        <v>322</v>
      </c>
      <c r="R111" s="20" t="s">
        <v>783</v>
      </c>
      <c r="S111" s="20" t="s">
        <v>787</v>
      </c>
      <c r="T111" s="20" t="s">
        <v>138</v>
      </c>
      <c r="U111" s="20" t="s">
        <v>64</v>
      </c>
      <c r="V111" s="20" t="s">
        <v>1298</v>
      </c>
      <c r="W111" s="20" t="s">
        <v>893</v>
      </c>
      <c r="X111" s="20" t="s">
        <v>1299</v>
      </c>
      <c r="Y111" s="20"/>
      <c r="Z111" s="20"/>
      <c r="AA111" s="20"/>
      <c r="AB111" s="21">
        <v>45782</v>
      </c>
      <c r="AC111" s="20"/>
      <c r="AD111" s="20"/>
      <c r="AE111" s="27">
        <v>30</v>
      </c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>
        <v>1</v>
      </c>
      <c r="AQ111" s="20" t="s">
        <v>1784</v>
      </c>
      <c r="AR111" s="20" t="s">
        <v>1784</v>
      </c>
      <c r="AS111" s="29">
        <v>1470</v>
      </c>
      <c r="AT111" s="63">
        <v>113</v>
      </c>
      <c r="AU111" s="27">
        <v>1470</v>
      </c>
      <c r="AV111" s="20">
        <v>113</v>
      </c>
      <c r="AW111" s="20"/>
      <c r="AX111" s="20"/>
      <c r="AY111" s="20"/>
      <c r="AZ111" s="20"/>
      <c r="BA111" s="20"/>
      <c r="BB111" s="20"/>
      <c r="BC111" s="20"/>
      <c r="BD111" s="20"/>
      <c r="BE111" s="20">
        <v>390</v>
      </c>
      <c r="BF111" s="20"/>
      <c r="BG111" s="20">
        <v>520</v>
      </c>
      <c r="BH111" s="20"/>
      <c r="BI111" s="20"/>
      <c r="BJ111" s="20"/>
      <c r="BK111" s="20"/>
      <c r="BL111" s="20"/>
      <c r="BM111" s="20"/>
      <c r="BN111" s="20">
        <v>105.53</v>
      </c>
      <c r="BO111" s="27"/>
      <c r="BP111" s="20"/>
      <c r="BQ111" s="20"/>
      <c r="BR111" s="20"/>
      <c r="BS111" s="27">
        <v>48.03</v>
      </c>
      <c r="BT111" s="20"/>
      <c r="BU111" s="20"/>
      <c r="BV111" s="20"/>
      <c r="BW111" s="20"/>
      <c r="BX111" s="20"/>
      <c r="BY111" s="28">
        <v>2646.56</v>
      </c>
      <c r="BZ111" s="20"/>
      <c r="CA111" s="20"/>
      <c r="CB111" s="20"/>
      <c r="CC111" s="27"/>
      <c r="CD111" s="20"/>
      <c r="CE111" s="27">
        <v>207.85</v>
      </c>
      <c r="CF111" s="20">
        <v>35.130000000000003</v>
      </c>
      <c r="CG111" s="27">
        <v>28.48</v>
      </c>
      <c r="CH111" s="20"/>
      <c r="CI111" s="20"/>
      <c r="CJ111" s="20"/>
      <c r="CK111" s="20"/>
      <c r="CL111" s="20"/>
      <c r="CM111" s="27"/>
      <c r="CN111" s="20"/>
      <c r="CO111" s="20"/>
      <c r="CP111" s="20"/>
      <c r="CQ111" s="20"/>
      <c r="CR111" s="27">
        <v>48.03</v>
      </c>
      <c r="CS111" s="20">
        <v>4.9000000000000004</v>
      </c>
      <c r="CT111" s="20"/>
      <c r="CU111" s="20"/>
      <c r="CV111" s="20"/>
      <c r="CW111" s="20"/>
      <c r="CX111" s="20"/>
      <c r="CY111" s="28">
        <v>324.39</v>
      </c>
      <c r="CZ111" s="27">
        <v>187.07</v>
      </c>
      <c r="DA111" s="27"/>
      <c r="DB111" s="27">
        <v>7.27</v>
      </c>
      <c r="DC111" s="27">
        <v>12.26</v>
      </c>
      <c r="DD111" s="20"/>
      <c r="DE111" s="27">
        <v>7.07</v>
      </c>
      <c r="DF111" s="28">
        <v>213.67</v>
      </c>
      <c r="DG111" s="28">
        <v>2322.17</v>
      </c>
    </row>
    <row r="112" spans="2:111" s="31" customFormat="1" ht="14.5" x14ac:dyDescent="0.35">
      <c r="B112" s="20">
        <v>146</v>
      </c>
      <c r="C112" s="20" t="s">
        <v>187</v>
      </c>
      <c r="D112" s="20" t="s">
        <v>105</v>
      </c>
      <c r="E112" s="20" t="s">
        <v>1348</v>
      </c>
      <c r="F112" s="20" t="s">
        <v>108</v>
      </c>
      <c r="G112" s="20" t="s">
        <v>1349</v>
      </c>
      <c r="H112" s="20" t="s">
        <v>1350</v>
      </c>
      <c r="I112" s="20" t="s">
        <v>58</v>
      </c>
      <c r="J112" s="20" t="s">
        <v>1348</v>
      </c>
      <c r="K112" s="20" t="s">
        <v>59</v>
      </c>
      <c r="L112" s="21">
        <v>34468</v>
      </c>
      <c r="M112" s="20" t="s">
        <v>412</v>
      </c>
      <c r="N112" s="20" t="s">
        <v>129</v>
      </c>
      <c r="O112" s="20" t="s">
        <v>60</v>
      </c>
      <c r="P112" s="20" t="s">
        <v>321</v>
      </c>
      <c r="Q112" s="20" t="s">
        <v>322</v>
      </c>
      <c r="R112" s="20" t="s">
        <v>783</v>
      </c>
      <c r="S112" s="20" t="s">
        <v>787</v>
      </c>
      <c r="T112" s="20" t="s">
        <v>65</v>
      </c>
      <c r="U112" s="20" t="s">
        <v>73</v>
      </c>
      <c r="V112" s="20" t="s">
        <v>1394</v>
      </c>
      <c r="W112" s="20" t="s">
        <v>898</v>
      </c>
      <c r="X112" s="20" t="s">
        <v>1351</v>
      </c>
      <c r="Y112" s="20"/>
      <c r="Z112" s="20"/>
      <c r="AA112" s="20"/>
      <c r="AB112" s="21">
        <v>45820</v>
      </c>
      <c r="AC112" s="20"/>
      <c r="AD112" s="20"/>
      <c r="AE112" s="27">
        <v>30</v>
      </c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>
        <v>1</v>
      </c>
      <c r="AQ112" s="20" t="s">
        <v>1784</v>
      </c>
      <c r="AR112" s="20" t="s">
        <v>1784</v>
      </c>
      <c r="AS112" s="29">
        <v>1470</v>
      </c>
      <c r="AT112" s="63">
        <v>113</v>
      </c>
      <c r="AU112" s="27">
        <v>1470</v>
      </c>
      <c r="AV112" s="20">
        <v>113</v>
      </c>
      <c r="AW112" s="20"/>
      <c r="AX112" s="20"/>
      <c r="AY112" s="20"/>
      <c r="AZ112" s="20"/>
      <c r="BA112" s="20"/>
      <c r="BB112" s="20"/>
      <c r="BC112" s="20"/>
      <c r="BD112" s="20"/>
      <c r="BE112" s="20">
        <v>390</v>
      </c>
      <c r="BF112" s="20"/>
      <c r="BG112" s="20">
        <v>520</v>
      </c>
      <c r="BH112" s="20"/>
      <c r="BI112" s="20"/>
      <c r="BJ112" s="20"/>
      <c r="BK112" s="20"/>
      <c r="BL112" s="20"/>
      <c r="BM112" s="20"/>
      <c r="BN112" s="20">
        <v>105.53</v>
      </c>
      <c r="BO112" s="27"/>
      <c r="BP112" s="20"/>
      <c r="BQ112" s="20"/>
      <c r="BR112" s="20"/>
      <c r="BS112" s="27">
        <v>96.06</v>
      </c>
      <c r="BT112" s="20"/>
      <c r="BU112" s="20"/>
      <c r="BV112" s="20"/>
      <c r="BW112" s="20"/>
      <c r="BX112" s="20"/>
      <c r="BY112" s="28">
        <v>2694.59</v>
      </c>
      <c r="BZ112" s="20"/>
      <c r="CA112" s="20"/>
      <c r="CB112" s="20"/>
      <c r="CC112" s="27"/>
      <c r="CD112" s="20"/>
      <c r="CE112" s="27">
        <v>207.85</v>
      </c>
      <c r="CF112" s="20"/>
      <c r="CG112" s="27">
        <v>28.48</v>
      </c>
      <c r="CH112" s="20"/>
      <c r="CI112" s="20"/>
      <c r="CJ112" s="20"/>
      <c r="CK112" s="20"/>
      <c r="CL112" s="20"/>
      <c r="CM112" s="27"/>
      <c r="CN112" s="20"/>
      <c r="CO112" s="20"/>
      <c r="CP112" s="20"/>
      <c r="CQ112" s="20"/>
      <c r="CR112" s="27">
        <v>96.06</v>
      </c>
      <c r="CS112" s="20">
        <v>4.9000000000000004</v>
      </c>
      <c r="CT112" s="20"/>
      <c r="CU112" s="20"/>
      <c r="CV112" s="20"/>
      <c r="CW112" s="20"/>
      <c r="CX112" s="20"/>
      <c r="CY112" s="28">
        <v>337.29</v>
      </c>
      <c r="CZ112" s="27">
        <v>140.30000000000001</v>
      </c>
      <c r="DA112" s="27">
        <v>46.77</v>
      </c>
      <c r="DB112" s="27">
        <v>7.27</v>
      </c>
      <c r="DC112" s="27">
        <v>12.26</v>
      </c>
      <c r="DD112" s="20"/>
      <c r="DE112" s="27">
        <v>7.07</v>
      </c>
      <c r="DF112" s="28">
        <v>213.67</v>
      </c>
      <c r="DG112" s="28">
        <v>2357.3000000000002</v>
      </c>
    </row>
    <row r="113" spans="2:111" s="31" customFormat="1" ht="14.5" x14ac:dyDescent="0.35">
      <c r="B113" s="20">
        <v>154</v>
      </c>
      <c r="C113" s="20" t="s">
        <v>187</v>
      </c>
      <c r="D113" s="20" t="s">
        <v>105</v>
      </c>
      <c r="E113" s="20" t="s">
        <v>1302</v>
      </c>
      <c r="F113" s="20" t="s">
        <v>1303</v>
      </c>
      <c r="G113" s="20" t="s">
        <v>1304</v>
      </c>
      <c r="H113" s="20" t="s">
        <v>1305</v>
      </c>
      <c r="I113" s="20" t="s">
        <v>58</v>
      </c>
      <c r="J113" s="20" t="s">
        <v>1302</v>
      </c>
      <c r="K113" s="20" t="s">
        <v>59</v>
      </c>
      <c r="L113" s="21">
        <v>32648</v>
      </c>
      <c r="M113" s="20" t="s">
        <v>412</v>
      </c>
      <c r="N113" s="20" t="s">
        <v>129</v>
      </c>
      <c r="O113" s="20" t="s">
        <v>60</v>
      </c>
      <c r="P113" s="20" t="s">
        <v>321</v>
      </c>
      <c r="Q113" s="20" t="s">
        <v>322</v>
      </c>
      <c r="R113" s="20" t="s">
        <v>783</v>
      </c>
      <c r="S113" s="20" t="s">
        <v>787</v>
      </c>
      <c r="T113" s="20" t="s">
        <v>65</v>
      </c>
      <c r="U113" s="20" t="s">
        <v>73</v>
      </c>
      <c r="V113" s="20" t="s">
        <v>1306</v>
      </c>
      <c r="W113" s="20" t="s">
        <v>896</v>
      </c>
      <c r="X113" s="20" t="s">
        <v>1307</v>
      </c>
      <c r="Y113" s="20"/>
      <c r="Z113" s="20"/>
      <c r="AA113" s="20"/>
      <c r="AB113" s="21">
        <v>45790</v>
      </c>
      <c r="AC113" s="20"/>
      <c r="AD113" s="20"/>
      <c r="AE113" s="27">
        <v>30</v>
      </c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>
        <v>1</v>
      </c>
      <c r="AQ113" s="20" t="s">
        <v>1784</v>
      </c>
      <c r="AR113" s="20" t="s">
        <v>1784</v>
      </c>
      <c r="AS113" s="29">
        <v>1470</v>
      </c>
      <c r="AT113" s="63">
        <v>113</v>
      </c>
      <c r="AU113" s="27">
        <v>1470</v>
      </c>
      <c r="AV113" s="20">
        <v>113</v>
      </c>
      <c r="AW113" s="20"/>
      <c r="AX113" s="20"/>
      <c r="AY113" s="20"/>
      <c r="AZ113" s="20"/>
      <c r="BA113" s="20"/>
      <c r="BB113" s="20"/>
      <c r="BC113" s="20"/>
      <c r="BD113" s="20"/>
      <c r="BE113" s="20">
        <v>390</v>
      </c>
      <c r="BF113" s="20"/>
      <c r="BG113" s="20">
        <v>520</v>
      </c>
      <c r="BH113" s="20"/>
      <c r="BI113" s="20"/>
      <c r="BJ113" s="20"/>
      <c r="BK113" s="20"/>
      <c r="BL113" s="20"/>
      <c r="BM113" s="20"/>
      <c r="BN113" s="20">
        <v>105.53</v>
      </c>
      <c r="BO113" s="27"/>
      <c r="BP113" s="20"/>
      <c r="BQ113" s="20"/>
      <c r="BR113" s="20"/>
      <c r="BS113" s="27">
        <v>48.03</v>
      </c>
      <c r="BT113" s="20"/>
      <c r="BU113" s="20"/>
      <c r="BV113" s="20"/>
      <c r="BW113" s="20"/>
      <c r="BX113" s="20"/>
      <c r="BY113" s="28">
        <v>2646.56</v>
      </c>
      <c r="BZ113" s="20"/>
      <c r="CA113" s="20"/>
      <c r="CB113" s="20"/>
      <c r="CC113" s="27"/>
      <c r="CD113" s="20"/>
      <c r="CE113" s="27">
        <v>207.85</v>
      </c>
      <c r="CF113" s="20"/>
      <c r="CG113" s="27">
        <v>28.48</v>
      </c>
      <c r="CH113" s="20"/>
      <c r="CI113" s="20"/>
      <c r="CJ113" s="20"/>
      <c r="CK113" s="20"/>
      <c r="CL113" s="20"/>
      <c r="CM113" s="27"/>
      <c r="CN113" s="20"/>
      <c r="CO113" s="20"/>
      <c r="CP113" s="20"/>
      <c r="CQ113" s="20"/>
      <c r="CR113" s="27">
        <v>48.03</v>
      </c>
      <c r="CS113" s="20">
        <v>14.7</v>
      </c>
      <c r="CT113" s="20"/>
      <c r="CU113" s="20"/>
      <c r="CV113" s="20"/>
      <c r="CW113" s="20"/>
      <c r="CX113" s="20"/>
      <c r="CY113" s="28">
        <v>299.06</v>
      </c>
      <c r="CZ113" s="27">
        <v>140.30000000000001</v>
      </c>
      <c r="DA113" s="27">
        <v>46.77</v>
      </c>
      <c r="DB113" s="27">
        <v>7.27</v>
      </c>
      <c r="DC113" s="27">
        <v>12.26</v>
      </c>
      <c r="DD113" s="20"/>
      <c r="DE113" s="27">
        <v>7.07</v>
      </c>
      <c r="DF113" s="28">
        <v>213.67</v>
      </c>
      <c r="DG113" s="28">
        <v>2347.5</v>
      </c>
    </row>
    <row r="114" spans="2:111" s="31" customFormat="1" ht="14.5" x14ac:dyDescent="0.35">
      <c r="B114" s="20">
        <v>157</v>
      </c>
      <c r="C114" s="20" t="s">
        <v>187</v>
      </c>
      <c r="D114" s="20" t="s">
        <v>105</v>
      </c>
      <c r="E114" s="20" t="s">
        <v>1024</v>
      </c>
      <c r="F114" s="20" t="s">
        <v>685</v>
      </c>
      <c r="G114" s="20" t="s">
        <v>1025</v>
      </c>
      <c r="H114" s="20" t="s">
        <v>1026</v>
      </c>
      <c r="I114" s="20" t="s">
        <v>58</v>
      </c>
      <c r="J114" s="20" t="s">
        <v>1024</v>
      </c>
      <c r="K114" s="20" t="s">
        <v>59</v>
      </c>
      <c r="L114" s="21">
        <v>26911</v>
      </c>
      <c r="M114" s="20" t="s">
        <v>412</v>
      </c>
      <c r="N114" s="20" t="s">
        <v>129</v>
      </c>
      <c r="O114" s="20" t="s">
        <v>60</v>
      </c>
      <c r="P114" s="20" t="s">
        <v>321</v>
      </c>
      <c r="Q114" s="20" t="s">
        <v>322</v>
      </c>
      <c r="R114" s="20" t="s">
        <v>783</v>
      </c>
      <c r="S114" s="20" t="s">
        <v>787</v>
      </c>
      <c r="T114" s="20" t="s">
        <v>63</v>
      </c>
      <c r="U114" s="20" t="s">
        <v>64</v>
      </c>
      <c r="V114" s="20" t="s">
        <v>1029</v>
      </c>
      <c r="W114" s="20" t="s">
        <v>893</v>
      </c>
      <c r="X114" s="20" t="s">
        <v>1030</v>
      </c>
      <c r="Y114" s="20" t="s">
        <v>63</v>
      </c>
      <c r="Z114" s="20" t="s">
        <v>1529</v>
      </c>
      <c r="AA114" s="20" t="s">
        <v>1664</v>
      </c>
      <c r="AB114" s="21">
        <v>45607</v>
      </c>
      <c r="AC114" s="20"/>
      <c r="AD114" s="20"/>
      <c r="AE114" s="27"/>
      <c r="AF114" s="20"/>
      <c r="AG114" s="20"/>
      <c r="AH114" s="20"/>
      <c r="AI114" s="20">
        <v>30</v>
      </c>
      <c r="AJ114" s="20"/>
      <c r="AK114" s="20"/>
      <c r="AL114" s="20"/>
      <c r="AM114" s="20"/>
      <c r="AN114" s="20"/>
      <c r="AO114" s="20"/>
      <c r="AP114" s="20"/>
      <c r="AQ114" s="20" t="s">
        <v>1784</v>
      </c>
      <c r="AR114" s="20" t="s">
        <v>1784</v>
      </c>
      <c r="AS114" s="29">
        <v>1470</v>
      </c>
      <c r="AT114" s="63"/>
      <c r="AU114" s="27"/>
      <c r="AV114" s="20"/>
      <c r="AW114" s="20"/>
      <c r="AX114" s="20"/>
      <c r="AY114" s="20"/>
      <c r="AZ114" s="20"/>
      <c r="BA114" s="20"/>
      <c r="BB114" s="20"/>
      <c r="BC114" s="20">
        <v>2235.9</v>
      </c>
      <c r="BD114" s="20"/>
      <c r="BE114" s="20">
        <v>390</v>
      </c>
      <c r="BF114" s="20"/>
      <c r="BG114" s="20">
        <v>520</v>
      </c>
      <c r="BH114" s="20"/>
      <c r="BI114" s="20"/>
      <c r="BJ114" s="20"/>
      <c r="BK114" s="20"/>
      <c r="BL114" s="20"/>
      <c r="BM114" s="20"/>
      <c r="BN114" s="20"/>
      <c r="BO114" s="27">
        <v>349.6</v>
      </c>
      <c r="BP114" s="20"/>
      <c r="BQ114" s="20"/>
      <c r="BR114" s="20"/>
      <c r="BS114" s="27">
        <v>48.03</v>
      </c>
      <c r="BT114" s="20">
        <v>100</v>
      </c>
      <c r="BU114" s="20"/>
      <c r="BV114" s="20"/>
      <c r="BW114" s="20"/>
      <c r="BX114" s="20"/>
      <c r="BY114" s="28">
        <v>3643.53</v>
      </c>
      <c r="BZ114" s="20"/>
      <c r="CA114" s="20"/>
      <c r="CB114" s="20"/>
      <c r="CC114" s="27"/>
      <c r="CD114" s="20"/>
      <c r="CE114" s="27">
        <v>297.55</v>
      </c>
      <c r="CF114" s="20">
        <v>50.29</v>
      </c>
      <c r="CG114" s="27">
        <v>40.76</v>
      </c>
      <c r="CH114" s="20"/>
      <c r="CI114" s="20"/>
      <c r="CJ114" s="20"/>
      <c r="CK114" s="20"/>
      <c r="CL114" s="20"/>
      <c r="CM114" s="27">
        <v>349.6</v>
      </c>
      <c r="CN114" s="20"/>
      <c r="CO114" s="20"/>
      <c r="CP114" s="20"/>
      <c r="CQ114" s="20"/>
      <c r="CR114" s="27">
        <v>48.03</v>
      </c>
      <c r="CS114" s="20"/>
      <c r="CT114" s="20"/>
      <c r="CU114" s="20"/>
      <c r="CV114" s="20">
        <v>100</v>
      </c>
      <c r="CW114" s="20"/>
      <c r="CX114" s="20"/>
      <c r="CY114" s="28">
        <v>886.23</v>
      </c>
      <c r="CZ114" s="27">
        <v>66.56</v>
      </c>
      <c r="DA114" s="27"/>
      <c r="DB114" s="27"/>
      <c r="DC114" s="27"/>
      <c r="DD114" s="20"/>
      <c r="DE114" s="27">
        <v>10.119999999999999</v>
      </c>
      <c r="DF114" s="28">
        <v>76.680000000000007</v>
      </c>
      <c r="DG114" s="28">
        <v>2757.3</v>
      </c>
    </row>
    <row r="115" spans="2:111" s="31" customFormat="1" ht="14.5" x14ac:dyDescent="0.35">
      <c r="B115" s="20">
        <v>109</v>
      </c>
      <c r="C115" s="20" t="s">
        <v>187</v>
      </c>
      <c r="D115" s="20" t="s">
        <v>105</v>
      </c>
      <c r="E115" s="20" t="s">
        <v>263</v>
      </c>
      <c r="F115" s="20" t="s">
        <v>618</v>
      </c>
      <c r="G115" s="20" t="s">
        <v>411</v>
      </c>
      <c r="H115" s="20" t="s">
        <v>619</v>
      </c>
      <c r="I115" s="20" t="s">
        <v>58</v>
      </c>
      <c r="J115" s="20" t="s">
        <v>263</v>
      </c>
      <c r="K115" s="20" t="s">
        <v>66</v>
      </c>
      <c r="L115" s="21">
        <v>35390</v>
      </c>
      <c r="M115" s="20" t="s">
        <v>620</v>
      </c>
      <c r="N115" s="20" t="s">
        <v>129</v>
      </c>
      <c r="O115" s="20" t="s">
        <v>67</v>
      </c>
      <c r="P115" s="20" t="s">
        <v>364</v>
      </c>
      <c r="Q115" s="20" t="s">
        <v>365</v>
      </c>
      <c r="R115" s="20" t="s">
        <v>783</v>
      </c>
      <c r="S115" s="20" t="s">
        <v>782</v>
      </c>
      <c r="T115" s="20" t="s">
        <v>63</v>
      </c>
      <c r="U115" s="20" t="s">
        <v>64</v>
      </c>
      <c r="V115" s="20" t="s">
        <v>848</v>
      </c>
      <c r="W115" s="20" t="s">
        <v>891</v>
      </c>
      <c r="X115" s="20" t="s">
        <v>968</v>
      </c>
      <c r="Y115" s="20" t="s">
        <v>1560</v>
      </c>
      <c r="Z115" s="20" t="s">
        <v>1529</v>
      </c>
      <c r="AA115" s="20" t="s">
        <v>1628</v>
      </c>
      <c r="AB115" s="21">
        <v>45348</v>
      </c>
      <c r="AC115" s="20"/>
      <c r="AD115" s="20"/>
      <c r="AE115" s="27">
        <v>30</v>
      </c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 t="s">
        <v>1784</v>
      </c>
      <c r="AR115" s="20" t="s">
        <v>1784</v>
      </c>
      <c r="AS115" s="29">
        <v>7800</v>
      </c>
      <c r="AT115" s="63"/>
      <c r="AU115" s="27">
        <v>7800</v>
      </c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7">
        <v>92</v>
      </c>
      <c r="BP115" s="20"/>
      <c r="BQ115" s="20"/>
      <c r="BR115" s="20"/>
      <c r="BS115" s="27">
        <v>48.03</v>
      </c>
      <c r="BT115" s="20"/>
      <c r="BU115" s="20"/>
      <c r="BV115" s="20"/>
      <c r="BW115" s="20"/>
      <c r="BX115" s="20"/>
      <c r="BY115" s="28">
        <v>7940.03</v>
      </c>
      <c r="BZ115" s="20"/>
      <c r="CA115" s="20"/>
      <c r="CB115" s="20"/>
      <c r="CC115" s="27">
        <v>762.22</v>
      </c>
      <c r="CD115" s="20"/>
      <c r="CE115" s="27">
        <v>789.2</v>
      </c>
      <c r="CF115" s="20"/>
      <c r="CG115" s="27">
        <v>108.12</v>
      </c>
      <c r="CH115" s="20"/>
      <c r="CI115" s="20"/>
      <c r="CJ115" s="20"/>
      <c r="CK115" s="20"/>
      <c r="CL115" s="20"/>
      <c r="CM115" s="27">
        <v>92</v>
      </c>
      <c r="CN115" s="20"/>
      <c r="CO115" s="20"/>
      <c r="CP115" s="20"/>
      <c r="CQ115" s="20"/>
      <c r="CR115" s="27">
        <v>48.03</v>
      </c>
      <c r="CS115" s="20"/>
      <c r="CT115" s="20"/>
      <c r="CU115" s="20"/>
      <c r="CV115" s="20"/>
      <c r="CW115" s="20"/>
      <c r="CX115" s="20"/>
      <c r="CY115" s="28">
        <v>1799.57</v>
      </c>
      <c r="CZ115" s="27">
        <v>532.71</v>
      </c>
      <c r="DA115" s="27">
        <v>177.57</v>
      </c>
      <c r="DB115" s="27">
        <v>27.62</v>
      </c>
      <c r="DC115" s="27">
        <v>46.56</v>
      </c>
      <c r="DD115" s="20"/>
      <c r="DE115" s="27">
        <v>26.83</v>
      </c>
      <c r="DF115" s="28">
        <v>811.29</v>
      </c>
      <c r="DG115" s="28">
        <v>6140.46</v>
      </c>
    </row>
    <row r="116" spans="2:111" s="31" customFormat="1" ht="14.5" x14ac:dyDescent="0.35">
      <c r="B116" s="20">
        <v>110</v>
      </c>
      <c r="C116" s="20" t="s">
        <v>187</v>
      </c>
      <c r="D116" s="20" t="s">
        <v>105</v>
      </c>
      <c r="E116" s="20" t="s">
        <v>264</v>
      </c>
      <c r="F116" s="20" t="s">
        <v>621</v>
      </c>
      <c r="G116" s="20" t="s">
        <v>622</v>
      </c>
      <c r="H116" s="20" t="s">
        <v>623</v>
      </c>
      <c r="I116" s="20" t="s">
        <v>58</v>
      </c>
      <c r="J116" s="20" t="s">
        <v>264</v>
      </c>
      <c r="K116" s="20" t="s">
        <v>59</v>
      </c>
      <c r="L116" s="21">
        <v>33469</v>
      </c>
      <c r="M116" s="20" t="s">
        <v>1108</v>
      </c>
      <c r="N116" s="20" t="s">
        <v>129</v>
      </c>
      <c r="O116" s="20" t="s">
        <v>70</v>
      </c>
      <c r="P116" s="20" t="s">
        <v>113</v>
      </c>
      <c r="Q116" s="20" t="s">
        <v>114</v>
      </c>
      <c r="R116" s="20" t="s">
        <v>779</v>
      </c>
      <c r="S116" s="20" t="s">
        <v>782</v>
      </c>
      <c r="T116" s="20" t="s">
        <v>65</v>
      </c>
      <c r="U116" s="20" t="s">
        <v>73</v>
      </c>
      <c r="V116" s="20" t="s">
        <v>849</v>
      </c>
      <c r="W116" s="20" t="s">
        <v>898</v>
      </c>
      <c r="X116" s="20" t="s">
        <v>969</v>
      </c>
      <c r="Y116" s="20" t="s">
        <v>65</v>
      </c>
      <c r="Z116" s="20" t="s">
        <v>1529</v>
      </c>
      <c r="AA116" s="20" t="s">
        <v>1629</v>
      </c>
      <c r="AB116" s="21">
        <v>44986</v>
      </c>
      <c r="AC116" s="20"/>
      <c r="AD116" s="20"/>
      <c r="AE116" s="27">
        <v>30</v>
      </c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 t="s">
        <v>1784</v>
      </c>
      <c r="AR116" s="20" t="s">
        <v>1784</v>
      </c>
      <c r="AS116" s="29">
        <v>18900</v>
      </c>
      <c r="AT116" s="63">
        <v>113</v>
      </c>
      <c r="AU116" s="27">
        <v>18900</v>
      </c>
      <c r="AV116" s="20">
        <v>113</v>
      </c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7">
        <v>32.5</v>
      </c>
      <c r="BP116" s="20"/>
      <c r="BQ116" s="20"/>
      <c r="BR116" s="20"/>
      <c r="BS116" s="27">
        <v>96.06</v>
      </c>
      <c r="BT116" s="20"/>
      <c r="BU116" s="20"/>
      <c r="BV116" s="20"/>
      <c r="BW116" s="20"/>
      <c r="BX116" s="20"/>
      <c r="BY116" s="28">
        <v>19141.560000000001</v>
      </c>
      <c r="BZ116" s="20"/>
      <c r="CA116" s="20"/>
      <c r="CB116" s="20"/>
      <c r="CC116" s="27">
        <v>2579.92</v>
      </c>
      <c r="CD116" s="20"/>
      <c r="CE116" s="27">
        <v>1904.55</v>
      </c>
      <c r="CF116" s="20">
        <v>304.73</v>
      </c>
      <c r="CG116" s="27">
        <v>166.93</v>
      </c>
      <c r="CH116" s="20"/>
      <c r="CI116" s="20"/>
      <c r="CJ116" s="20"/>
      <c r="CK116" s="20"/>
      <c r="CL116" s="20"/>
      <c r="CM116" s="27">
        <v>32.5</v>
      </c>
      <c r="CN116" s="20"/>
      <c r="CO116" s="20"/>
      <c r="CP116" s="20"/>
      <c r="CQ116" s="20"/>
      <c r="CR116" s="27">
        <v>96.06</v>
      </c>
      <c r="CS116" s="20">
        <v>29.3</v>
      </c>
      <c r="CT116" s="20"/>
      <c r="CU116" s="20"/>
      <c r="CV116" s="20"/>
      <c r="CW116" s="20"/>
      <c r="CX116" s="20"/>
      <c r="CY116" s="28">
        <v>5113.99</v>
      </c>
      <c r="CZ116" s="27">
        <v>1285.57</v>
      </c>
      <c r="DA116" s="27">
        <v>428.52</v>
      </c>
      <c r="DB116" s="27">
        <v>42.65</v>
      </c>
      <c r="DC116" s="27">
        <v>112.37</v>
      </c>
      <c r="DD116" s="20"/>
      <c r="DE116" s="27">
        <v>41.43</v>
      </c>
      <c r="DF116" s="28">
        <v>1910.54</v>
      </c>
      <c r="DG116" s="28">
        <v>14027.57</v>
      </c>
    </row>
    <row r="117" spans="2:111" s="31" customFormat="1" ht="14.5" x14ac:dyDescent="0.35">
      <c r="B117" s="20">
        <v>182</v>
      </c>
      <c r="C117" s="20" t="s">
        <v>187</v>
      </c>
      <c r="D117" s="20" t="s">
        <v>109</v>
      </c>
      <c r="E117" s="20" t="s">
        <v>303</v>
      </c>
      <c r="F117" s="20" t="s">
        <v>730</v>
      </c>
      <c r="G117" s="20" t="s">
        <v>731</v>
      </c>
      <c r="H117" s="20" t="s">
        <v>732</v>
      </c>
      <c r="I117" s="20" t="s">
        <v>58</v>
      </c>
      <c r="J117" s="20" t="s">
        <v>303</v>
      </c>
      <c r="K117" s="20" t="s">
        <v>59</v>
      </c>
      <c r="L117" s="21">
        <v>27036</v>
      </c>
      <c r="M117" s="20" t="s">
        <v>556</v>
      </c>
      <c r="N117" s="20" t="s">
        <v>327</v>
      </c>
      <c r="O117" s="20" t="s">
        <v>67</v>
      </c>
      <c r="P117" s="20" t="s">
        <v>1051</v>
      </c>
      <c r="Q117" s="20" t="s">
        <v>1052</v>
      </c>
      <c r="R117" s="20" t="s">
        <v>779</v>
      </c>
      <c r="S117" s="20" t="s">
        <v>780</v>
      </c>
      <c r="T117" s="20" t="s">
        <v>63</v>
      </c>
      <c r="U117" s="20" t="s">
        <v>64</v>
      </c>
      <c r="V117" s="20" t="s">
        <v>879</v>
      </c>
      <c r="W117" s="20" t="s">
        <v>891</v>
      </c>
      <c r="X117" s="20" t="s">
        <v>1009</v>
      </c>
      <c r="Y117" s="20" t="s">
        <v>65</v>
      </c>
      <c r="Z117" s="20" t="s">
        <v>1529</v>
      </c>
      <c r="AA117" s="20" t="s">
        <v>1685</v>
      </c>
      <c r="AB117" s="21">
        <v>44236</v>
      </c>
      <c r="AC117" s="20"/>
      <c r="AD117" s="20"/>
      <c r="AE117" s="27">
        <v>29</v>
      </c>
      <c r="AF117" s="20"/>
      <c r="AG117" s="20">
        <v>1</v>
      </c>
      <c r="AH117" s="20"/>
      <c r="AI117" s="20"/>
      <c r="AJ117" s="20"/>
      <c r="AK117" s="20"/>
      <c r="AL117" s="20"/>
      <c r="AM117" s="20"/>
      <c r="AN117" s="20"/>
      <c r="AO117" s="20"/>
      <c r="AP117" s="20"/>
      <c r="AQ117" s="20">
        <v>14</v>
      </c>
      <c r="AR117" s="20" t="s">
        <v>1784</v>
      </c>
      <c r="AS117" s="29">
        <v>3636</v>
      </c>
      <c r="AT117" s="63">
        <v>113</v>
      </c>
      <c r="AU117" s="27">
        <v>3514.8</v>
      </c>
      <c r="AV117" s="20">
        <v>113</v>
      </c>
      <c r="AW117" s="20"/>
      <c r="AX117" s="20"/>
      <c r="AY117" s="20"/>
      <c r="AZ117" s="20">
        <v>172.04</v>
      </c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7">
        <v>182.5</v>
      </c>
      <c r="BP117" s="20"/>
      <c r="BQ117" s="20"/>
      <c r="BR117" s="20"/>
      <c r="BS117" s="27">
        <v>144.1</v>
      </c>
      <c r="BT117" s="20"/>
      <c r="BU117" s="20"/>
      <c r="BV117" s="20"/>
      <c r="BW117" s="20">
        <v>31.82</v>
      </c>
      <c r="BX117" s="20"/>
      <c r="BY117" s="28">
        <v>4158.26</v>
      </c>
      <c r="BZ117" s="20"/>
      <c r="CA117" s="20">
        <v>1357.44</v>
      </c>
      <c r="CB117" s="20"/>
      <c r="CC117" s="27">
        <v>129.19999999999999</v>
      </c>
      <c r="CD117" s="20"/>
      <c r="CE117" s="27">
        <v>401.42</v>
      </c>
      <c r="CF117" s="20">
        <v>62.22</v>
      </c>
      <c r="CG117" s="27">
        <v>54.99</v>
      </c>
      <c r="CH117" s="20"/>
      <c r="CI117" s="20"/>
      <c r="CJ117" s="20"/>
      <c r="CK117" s="20"/>
      <c r="CL117" s="20"/>
      <c r="CM117" s="27">
        <v>182.5</v>
      </c>
      <c r="CN117" s="20"/>
      <c r="CO117" s="20"/>
      <c r="CP117" s="20"/>
      <c r="CQ117" s="20"/>
      <c r="CR117" s="27">
        <v>144.1</v>
      </c>
      <c r="CS117" s="20"/>
      <c r="CT117" s="20"/>
      <c r="CU117" s="20"/>
      <c r="CV117" s="20"/>
      <c r="CW117" s="20"/>
      <c r="CX117" s="20"/>
      <c r="CY117" s="28">
        <v>2331.87</v>
      </c>
      <c r="CZ117" s="27">
        <v>361.27</v>
      </c>
      <c r="DA117" s="27"/>
      <c r="DB117" s="27">
        <v>14.05</v>
      </c>
      <c r="DC117" s="27">
        <v>23.68</v>
      </c>
      <c r="DD117" s="20">
        <v>30.11</v>
      </c>
      <c r="DE117" s="27">
        <v>13.65</v>
      </c>
      <c r="DF117" s="28">
        <v>442.76</v>
      </c>
      <c r="DG117" s="28">
        <v>1826.39</v>
      </c>
    </row>
    <row r="118" spans="2:111" s="31" customFormat="1" ht="14.5" x14ac:dyDescent="0.35">
      <c r="B118" s="20">
        <v>13</v>
      </c>
      <c r="C118" s="20" t="s">
        <v>187</v>
      </c>
      <c r="D118" s="20" t="s">
        <v>109</v>
      </c>
      <c r="E118" s="20" t="s">
        <v>198</v>
      </c>
      <c r="F118" s="20" t="s">
        <v>366</v>
      </c>
      <c r="G118" s="20" t="s">
        <v>367</v>
      </c>
      <c r="H118" s="20" t="s">
        <v>368</v>
      </c>
      <c r="I118" s="20" t="s">
        <v>58</v>
      </c>
      <c r="J118" s="20" t="s">
        <v>198</v>
      </c>
      <c r="K118" s="20" t="s">
        <v>59</v>
      </c>
      <c r="L118" s="21">
        <v>35412</v>
      </c>
      <c r="M118" s="20" t="s">
        <v>369</v>
      </c>
      <c r="N118" s="20" t="s">
        <v>327</v>
      </c>
      <c r="O118" s="20" t="s">
        <v>67</v>
      </c>
      <c r="P118" s="20" t="s">
        <v>1051</v>
      </c>
      <c r="Q118" s="20" t="s">
        <v>1052</v>
      </c>
      <c r="R118" s="20" t="s">
        <v>783</v>
      </c>
      <c r="S118" s="20" t="s">
        <v>780</v>
      </c>
      <c r="T118" s="20" t="s">
        <v>63</v>
      </c>
      <c r="U118" s="20" t="s">
        <v>64</v>
      </c>
      <c r="V118" s="20" t="s">
        <v>792</v>
      </c>
      <c r="W118" s="20" t="s">
        <v>891</v>
      </c>
      <c r="X118" s="20" t="s">
        <v>905</v>
      </c>
      <c r="Y118" s="20" t="s">
        <v>63</v>
      </c>
      <c r="Z118" s="20" t="s">
        <v>1529</v>
      </c>
      <c r="AA118" s="20" t="s">
        <v>1542</v>
      </c>
      <c r="AB118" s="21">
        <v>45509</v>
      </c>
      <c r="AC118" s="20"/>
      <c r="AD118" s="20"/>
      <c r="AE118" s="27">
        <v>22</v>
      </c>
      <c r="AF118" s="20"/>
      <c r="AG118" s="27">
        <v>7</v>
      </c>
      <c r="AH118" s="20"/>
      <c r="AI118" s="20"/>
      <c r="AJ118" s="20"/>
      <c r="AK118" s="27">
        <v>1</v>
      </c>
      <c r="AL118" s="20"/>
      <c r="AM118" s="20"/>
      <c r="AN118" s="20"/>
      <c r="AO118" s="20"/>
      <c r="AP118" s="20"/>
      <c r="AQ118" s="20">
        <v>66</v>
      </c>
      <c r="AR118" s="20" t="s">
        <v>1784</v>
      </c>
      <c r="AS118" s="29">
        <v>2163</v>
      </c>
      <c r="AT118" s="63"/>
      <c r="AU118" s="27">
        <v>1586.2</v>
      </c>
      <c r="AV118" s="20"/>
      <c r="AW118" s="20"/>
      <c r="AX118" s="20"/>
      <c r="AY118" s="20"/>
      <c r="AZ118" s="27">
        <v>765.7</v>
      </c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7">
        <v>191.1</v>
      </c>
      <c r="BP118" s="20"/>
      <c r="BQ118" s="20"/>
      <c r="BR118" s="20"/>
      <c r="BS118" s="27">
        <v>96.07</v>
      </c>
      <c r="BT118" s="20"/>
      <c r="BU118" s="20"/>
      <c r="BV118" s="20"/>
      <c r="BW118" s="27">
        <v>89.23</v>
      </c>
      <c r="BX118" s="20"/>
      <c r="BY118" s="28">
        <v>2728.3</v>
      </c>
      <c r="BZ118" s="20"/>
      <c r="CA118" s="27">
        <v>865.2</v>
      </c>
      <c r="CB118" s="20"/>
      <c r="CC118" s="20"/>
      <c r="CD118" s="20"/>
      <c r="CE118" s="27">
        <v>263.22000000000003</v>
      </c>
      <c r="CF118" s="20"/>
      <c r="CG118" s="27">
        <v>36.06</v>
      </c>
      <c r="CH118" s="20"/>
      <c r="CI118" s="20"/>
      <c r="CJ118" s="20"/>
      <c r="CK118" s="20"/>
      <c r="CL118" s="20"/>
      <c r="CM118" s="27">
        <v>191.1</v>
      </c>
      <c r="CN118" s="20"/>
      <c r="CO118" s="20"/>
      <c r="CP118" s="20"/>
      <c r="CQ118" s="20"/>
      <c r="CR118" s="27">
        <v>96.07</v>
      </c>
      <c r="CS118" s="20"/>
      <c r="CT118" s="20"/>
      <c r="CU118" s="20"/>
      <c r="CV118" s="20"/>
      <c r="CW118" s="20"/>
      <c r="CX118" s="20"/>
      <c r="CY118" s="28">
        <v>1451.65</v>
      </c>
      <c r="CZ118" s="27">
        <v>177.68</v>
      </c>
      <c r="DA118" s="27">
        <v>59.23</v>
      </c>
      <c r="DB118" s="27">
        <v>9.2100000000000009</v>
      </c>
      <c r="DC118" s="27">
        <v>15.53</v>
      </c>
      <c r="DD118" s="27">
        <v>19.739999999999998</v>
      </c>
      <c r="DE118" s="27">
        <v>8.9499999999999993</v>
      </c>
      <c r="DF118" s="28">
        <v>290.33999999999997</v>
      </c>
      <c r="DG118" s="28">
        <v>1276.6500000000001</v>
      </c>
    </row>
    <row r="119" spans="2:111" s="31" customFormat="1" ht="14.5" x14ac:dyDescent="0.35">
      <c r="B119" s="20">
        <v>113</v>
      </c>
      <c r="C119" s="20" t="s">
        <v>187</v>
      </c>
      <c r="D119" s="20" t="s">
        <v>105</v>
      </c>
      <c r="E119" s="20" t="s">
        <v>266</v>
      </c>
      <c r="F119" s="20" t="s">
        <v>379</v>
      </c>
      <c r="G119" s="20" t="s">
        <v>626</v>
      </c>
      <c r="H119" s="20" t="s">
        <v>627</v>
      </c>
      <c r="I119" s="20" t="s">
        <v>58</v>
      </c>
      <c r="J119" s="20" t="s">
        <v>266</v>
      </c>
      <c r="K119" s="20" t="s">
        <v>66</v>
      </c>
      <c r="L119" s="21">
        <v>33506</v>
      </c>
      <c r="M119" s="20" t="s">
        <v>502</v>
      </c>
      <c r="N119" s="20" t="s">
        <v>132</v>
      </c>
      <c r="O119" s="20" t="s">
        <v>67</v>
      </c>
      <c r="P119" s="20" t="s">
        <v>358</v>
      </c>
      <c r="Q119" s="20" t="s">
        <v>359</v>
      </c>
      <c r="R119" s="20" t="s">
        <v>783</v>
      </c>
      <c r="S119" s="20" t="s">
        <v>787</v>
      </c>
      <c r="T119" s="20" t="s">
        <v>65</v>
      </c>
      <c r="U119" s="20" t="s">
        <v>73</v>
      </c>
      <c r="V119" s="20" t="s">
        <v>851</v>
      </c>
      <c r="W119" s="20" t="s">
        <v>891</v>
      </c>
      <c r="X119" s="20" t="s">
        <v>971</v>
      </c>
      <c r="Y119" s="20" t="s">
        <v>65</v>
      </c>
      <c r="Z119" s="20" t="s">
        <v>1529</v>
      </c>
      <c r="AA119" s="20" t="s">
        <v>1631</v>
      </c>
      <c r="AB119" s="21">
        <v>45369</v>
      </c>
      <c r="AC119" s="20"/>
      <c r="AD119" s="20"/>
      <c r="AE119" s="27">
        <v>28</v>
      </c>
      <c r="AF119" s="20"/>
      <c r="AG119" s="20"/>
      <c r="AH119" s="20">
        <v>2</v>
      </c>
      <c r="AI119" s="20"/>
      <c r="AJ119" s="20"/>
      <c r="AK119" s="20"/>
      <c r="AL119" s="20"/>
      <c r="AM119" s="20"/>
      <c r="AN119" s="20"/>
      <c r="AO119" s="20"/>
      <c r="AP119" s="20"/>
      <c r="AQ119" s="20" t="s">
        <v>1784</v>
      </c>
      <c r="AR119" s="20" t="s">
        <v>1784</v>
      </c>
      <c r="AS119" s="29">
        <v>3990</v>
      </c>
      <c r="AT119" s="63"/>
      <c r="AU119" s="27">
        <v>3724</v>
      </c>
      <c r="AV119" s="20"/>
      <c r="AW119" s="20"/>
      <c r="AX119" s="20"/>
      <c r="AY119" s="20"/>
      <c r="AZ119" s="20"/>
      <c r="BA119" s="20">
        <v>266</v>
      </c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7">
        <v>293</v>
      </c>
      <c r="BP119" s="20"/>
      <c r="BQ119" s="20"/>
      <c r="BR119" s="20"/>
      <c r="BS119" s="27">
        <v>48.03</v>
      </c>
      <c r="BT119" s="20">
        <v>100</v>
      </c>
      <c r="BU119" s="20"/>
      <c r="BV119" s="20"/>
      <c r="BW119" s="20"/>
      <c r="BX119" s="20"/>
      <c r="BY119" s="28">
        <v>4431.03</v>
      </c>
      <c r="BZ119" s="20"/>
      <c r="CA119" s="20"/>
      <c r="CB119" s="20"/>
      <c r="CC119" s="27">
        <v>199.5</v>
      </c>
      <c r="CD119" s="20"/>
      <c r="CE119" s="27">
        <v>428.3</v>
      </c>
      <c r="CF119" s="20"/>
      <c r="CG119" s="27">
        <v>58.68</v>
      </c>
      <c r="CH119" s="20"/>
      <c r="CI119" s="20"/>
      <c r="CJ119" s="20"/>
      <c r="CK119" s="20"/>
      <c r="CL119" s="20"/>
      <c r="CM119" s="27">
        <v>293</v>
      </c>
      <c r="CN119" s="20"/>
      <c r="CO119" s="20"/>
      <c r="CP119" s="20"/>
      <c r="CQ119" s="20"/>
      <c r="CR119" s="27">
        <v>48.03</v>
      </c>
      <c r="CS119" s="20"/>
      <c r="CT119" s="20"/>
      <c r="CU119" s="20"/>
      <c r="CV119" s="20">
        <v>100</v>
      </c>
      <c r="CW119" s="20"/>
      <c r="CX119" s="20"/>
      <c r="CY119" s="28">
        <v>1127.51</v>
      </c>
      <c r="CZ119" s="27">
        <v>289.10000000000002</v>
      </c>
      <c r="DA119" s="27">
        <v>96.37</v>
      </c>
      <c r="DB119" s="27">
        <v>14.99</v>
      </c>
      <c r="DC119" s="27">
        <v>25.27</v>
      </c>
      <c r="DD119" s="20"/>
      <c r="DE119" s="27">
        <v>14.56</v>
      </c>
      <c r="DF119" s="28">
        <v>440.29</v>
      </c>
      <c r="DG119" s="28">
        <v>3303.52</v>
      </c>
    </row>
    <row r="120" spans="2:111" s="31" customFormat="1" ht="14.5" x14ac:dyDescent="0.35">
      <c r="B120" s="20">
        <v>167</v>
      </c>
      <c r="C120" s="20" t="s">
        <v>187</v>
      </c>
      <c r="D120" s="20" t="s">
        <v>105</v>
      </c>
      <c r="E120" s="20" t="s">
        <v>1492</v>
      </c>
      <c r="F120" s="20" t="s">
        <v>1493</v>
      </c>
      <c r="G120" s="20" t="s">
        <v>1494</v>
      </c>
      <c r="H120" s="20" t="s">
        <v>1495</v>
      </c>
      <c r="I120" s="20" t="s">
        <v>58</v>
      </c>
      <c r="J120" s="20" t="s">
        <v>1492</v>
      </c>
      <c r="K120" s="20" t="s">
        <v>66</v>
      </c>
      <c r="L120" s="21">
        <v>33095</v>
      </c>
      <c r="M120" s="20" t="s">
        <v>412</v>
      </c>
      <c r="N120" s="20" t="s">
        <v>129</v>
      </c>
      <c r="O120" s="20" t="s">
        <v>60</v>
      </c>
      <c r="P120" s="20" t="s">
        <v>321</v>
      </c>
      <c r="Q120" s="20" t="s">
        <v>322</v>
      </c>
      <c r="R120" s="20" t="s">
        <v>783</v>
      </c>
      <c r="S120" s="20" t="s">
        <v>787</v>
      </c>
      <c r="T120" s="20" t="s">
        <v>63</v>
      </c>
      <c r="U120" s="20" t="s">
        <v>64</v>
      </c>
      <c r="V120" s="20" t="s">
        <v>1496</v>
      </c>
      <c r="W120" s="20" t="s">
        <v>898</v>
      </c>
      <c r="X120" s="20" t="s">
        <v>1497</v>
      </c>
      <c r="Y120" s="20"/>
      <c r="Z120" s="20"/>
      <c r="AA120" s="20"/>
      <c r="AB120" s="21">
        <v>45883</v>
      </c>
      <c r="AC120" s="20"/>
      <c r="AD120" s="20"/>
      <c r="AE120" s="27">
        <v>30</v>
      </c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>
        <v>1</v>
      </c>
      <c r="AQ120" s="20" t="s">
        <v>1784</v>
      </c>
      <c r="AR120" s="20" t="s">
        <v>1784</v>
      </c>
      <c r="AS120" s="29">
        <v>1470</v>
      </c>
      <c r="AT120" s="63">
        <v>113</v>
      </c>
      <c r="AU120" s="27">
        <v>1470</v>
      </c>
      <c r="AV120" s="20">
        <v>113</v>
      </c>
      <c r="AW120" s="20"/>
      <c r="AX120" s="20"/>
      <c r="AY120" s="20"/>
      <c r="AZ120" s="20"/>
      <c r="BA120" s="20"/>
      <c r="BB120" s="20"/>
      <c r="BC120" s="20"/>
      <c r="BD120" s="20"/>
      <c r="BE120" s="20">
        <v>390</v>
      </c>
      <c r="BF120" s="20"/>
      <c r="BG120" s="20">
        <v>520</v>
      </c>
      <c r="BH120" s="20"/>
      <c r="BI120" s="20"/>
      <c r="BJ120" s="20"/>
      <c r="BK120" s="20"/>
      <c r="BL120" s="20"/>
      <c r="BM120" s="20"/>
      <c r="BN120" s="20">
        <v>105.53</v>
      </c>
      <c r="BO120" s="27"/>
      <c r="BP120" s="20"/>
      <c r="BQ120" s="20"/>
      <c r="BR120" s="20"/>
      <c r="BS120" s="27">
        <v>96.06</v>
      </c>
      <c r="BT120" s="20"/>
      <c r="BU120" s="20">
        <v>630</v>
      </c>
      <c r="BV120" s="20"/>
      <c r="BW120" s="20"/>
      <c r="BX120" s="20"/>
      <c r="BY120" s="28">
        <v>3324.59</v>
      </c>
      <c r="BZ120" s="20"/>
      <c r="CA120" s="20"/>
      <c r="CB120" s="20"/>
      <c r="CC120" s="27"/>
      <c r="CD120" s="20"/>
      <c r="CE120" s="27">
        <v>270.85000000000002</v>
      </c>
      <c r="CF120" s="20"/>
      <c r="CG120" s="27">
        <v>37.11</v>
      </c>
      <c r="CH120" s="20"/>
      <c r="CI120" s="20"/>
      <c r="CJ120" s="20"/>
      <c r="CK120" s="20"/>
      <c r="CL120" s="20"/>
      <c r="CM120" s="27"/>
      <c r="CN120" s="20"/>
      <c r="CO120" s="20"/>
      <c r="CP120" s="20"/>
      <c r="CQ120" s="20"/>
      <c r="CR120" s="27">
        <v>96.06</v>
      </c>
      <c r="CS120" s="20"/>
      <c r="CT120" s="20"/>
      <c r="CU120" s="20"/>
      <c r="CV120" s="20"/>
      <c r="CW120" s="20"/>
      <c r="CX120" s="20"/>
      <c r="CY120" s="28">
        <v>404.02</v>
      </c>
      <c r="CZ120" s="27">
        <v>243.77</v>
      </c>
      <c r="DA120" s="27"/>
      <c r="DB120" s="27">
        <v>9.48</v>
      </c>
      <c r="DC120" s="27">
        <v>15.98</v>
      </c>
      <c r="DD120" s="20"/>
      <c r="DE120" s="27">
        <v>9.2100000000000009</v>
      </c>
      <c r="DF120" s="28">
        <v>278.44</v>
      </c>
      <c r="DG120" s="28">
        <v>2920.57</v>
      </c>
    </row>
    <row r="121" spans="2:111" s="31" customFormat="1" ht="14.5" x14ac:dyDescent="0.35">
      <c r="B121" s="32">
        <v>179</v>
      </c>
      <c r="C121" s="32" t="s">
        <v>187</v>
      </c>
      <c r="D121" s="32" t="s">
        <v>105</v>
      </c>
      <c r="E121" s="32" t="s">
        <v>1173</v>
      </c>
      <c r="F121" s="32" t="s">
        <v>1174</v>
      </c>
      <c r="G121" s="32" t="s">
        <v>680</v>
      </c>
      <c r="H121" s="32" t="s">
        <v>1175</v>
      </c>
      <c r="I121" s="32" t="s">
        <v>58</v>
      </c>
      <c r="J121" s="32" t="s">
        <v>1173</v>
      </c>
      <c r="K121" s="32" t="s">
        <v>59</v>
      </c>
      <c r="L121" s="37">
        <v>35320</v>
      </c>
      <c r="M121" s="32" t="s">
        <v>412</v>
      </c>
      <c r="N121" s="32" t="s">
        <v>327</v>
      </c>
      <c r="O121" s="32" t="s">
        <v>60</v>
      </c>
      <c r="P121" s="32" t="s">
        <v>321</v>
      </c>
      <c r="Q121" s="32" t="s">
        <v>322</v>
      </c>
      <c r="R121" s="32" t="s">
        <v>783</v>
      </c>
      <c r="S121" s="32" t="s">
        <v>787</v>
      </c>
      <c r="T121" s="32" t="s">
        <v>63</v>
      </c>
      <c r="U121" s="32" t="s">
        <v>64</v>
      </c>
      <c r="V121" s="32" t="s">
        <v>1254</v>
      </c>
      <c r="W121" s="32" t="s">
        <v>896</v>
      </c>
      <c r="X121" s="32" t="s">
        <v>1255</v>
      </c>
      <c r="Y121" s="32" t="s">
        <v>63</v>
      </c>
      <c r="Z121" s="32" t="s">
        <v>1529</v>
      </c>
      <c r="AA121" s="32" t="s">
        <v>1683</v>
      </c>
      <c r="AB121" s="37">
        <v>45735</v>
      </c>
      <c r="AC121" s="50">
        <v>45930</v>
      </c>
      <c r="AD121" s="32" t="s">
        <v>1579</v>
      </c>
      <c r="AE121" s="36">
        <v>29</v>
      </c>
      <c r="AF121" s="32"/>
      <c r="AG121" s="32"/>
      <c r="AH121" s="32">
        <v>1</v>
      </c>
      <c r="AI121" s="32"/>
      <c r="AJ121" s="32"/>
      <c r="AK121" s="32"/>
      <c r="AL121" s="32"/>
      <c r="AM121" s="32"/>
      <c r="AN121" s="32"/>
      <c r="AO121" s="32"/>
      <c r="AP121" s="32">
        <v>1</v>
      </c>
      <c r="AQ121" s="32" t="s">
        <v>1784</v>
      </c>
      <c r="AR121" s="32" t="s">
        <v>1784</v>
      </c>
      <c r="AS121" s="38">
        <v>1470</v>
      </c>
      <c r="AT121" s="68"/>
      <c r="AU121" s="36">
        <v>1421</v>
      </c>
      <c r="AV121" s="32"/>
      <c r="AW121" s="32"/>
      <c r="AX121" s="32"/>
      <c r="AY121" s="32"/>
      <c r="AZ121" s="32"/>
      <c r="BA121" s="32">
        <v>49</v>
      </c>
      <c r="BB121" s="32"/>
      <c r="BC121" s="32"/>
      <c r="BD121" s="32"/>
      <c r="BE121" s="32">
        <v>390</v>
      </c>
      <c r="BF121" s="32"/>
      <c r="BG121" s="32">
        <v>520</v>
      </c>
      <c r="BH121" s="32"/>
      <c r="BI121" s="32"/>
      <c r="BJ121" s="32"/>
      <c r="BK121" s="32"/>
      <c r="BL121" s="32"/>
      <c r="BM121" s="32"/>
      <c r="BN121" s="32">
        <v>98</v>
      </c>
      <c r="BO121" s="36"/>
      <c r="BP121" s="32"/>
      <c r="BQ121" s="32"/>
      <c r="BR121" s="32"/>
      <c r="BS121" s="36">
        <v>48.03</v>
      </c>
      <c r="BT121" s="32">
        <v>100</v>
      </c>
      <c r="BU121" s="32">
        <v>514.29</v>
      </c>
      <c r="BV121" s="32"/>
      <c r="BW121" s="32"/>
      <c r="BX121" s="32"/>
      <c r="BY121" s="39">
        <v>3140.32</v>
      </c>
      <c r="BZ121" s="32"/>
      <c r="CA121" s="32"/>
      <c r="CB121" s="32"/>
      <c r="CC121" s="36"/>
      <c r="CD121" s="32"/>
      <c r="CE121" s="36">
        <v>247.23</v>
      </c>
      <c r="CF121" s="32"/>
      <c r="CG121" s="36">
        <v>33.869999999999997</v>
      </c>
      <c r="CH121" s="32"/>
      <c r="CI121" s="32"/>
      <c r="CJ121" s="32"/>
      <c r="CK121" s="32"/>
      <c r="CL121" s="32"/>
      <c r="CM121" s="36"/>
      <c r="CN121" s="32"/>
      <c r="CO121" s="32"/>
      <c r="CP121" s="32"/>
      <c r="CQ121" s="32"/>
      <c r="CR121" s="36">
        <v>48.03</v>
      </c>
      <c r="CS121" s="32"/>
      <c r="CT121" s="32"/>
      <c r="CU121" s="32"/>
      <c r="CV121" s="32">
        <v>100</v>
      </c>
      <c r="CW121" s="32"/>
      <c r="CX121" s="32"/>
      <c r="CY121" s="39">
        <v>429.13</v>
      </c>
      <c r="CZ121" s="36">
        <v>222.51</v>
      </c>
      <c r="DA121" s="36"/>
      <c r="DB121" s="36"/>
      <c r="DC121" s="36"/>
      <c r="DD121" s="32"/>
      <c r="DE121" s="36">
        <v>8.41</v>
      </c>
      <c r="DF121" s="39">
        <v>230.92</v>
      </c>
      <c r="DG121" s="39">
        <v>2711.19</v>
      </c>
    </row>
    <row r="122" spans="2:111" s="31" customFormat="1" ht="14.5" x14ac:dyDescent="0.35">
      <c r="B122" s="20">
        <v>116</v>
      </c>
      <c r="C122" s="20" t="s">
        <v>187</v>
      </c>
      <c r="D122" s="20" t="s">
        <v>105</v>
      </c>
      <c r="E122" s="20" t="s">
        <v>269</v>
      </c>
      <c r="F122" s="20" t="s">
        <v>633</v>
      </c>
      <c r="G122" s="20" t="s">
        <v>634</v>
      </c>
      <c r="H122" s="20" t="s">
        <v>635</v>
      </c>
      <c r="I122" s="20" t="s">
        <v>58</v>
      </c>
      <c r="J122" s="20" t="s">
        <v>269</v>
      </c>
      <c r="K122" s="20" t="s">
        <v>59</v>
      </c>
      <c r="L122" s="21">
        <v>33347</v>
      </c>
      <c r="M122" s="20" t="s">
        <v>636</v>
      </c>
      <c r="N122" s="20" t="s">
        <v>129</v>
      </c>
      <c r="O122" s="20" t="s">
        <v>522</v>
      </c>
      <c r="P122" s="20" t="s">
        <v>523</v>
      </c>
      <c r="Q122" s="20" t="s">
        <v>524</v>
      </c>
      <c r="R122" s="20" t="s">
        <v>783</v>
      </c>
      <c r="S122" s="20" t="s">
        <v>782</v>
      </c>
      <c r="T122" s="20" t="s">
        <v>63</v>
      </c>
      <c r="U122" s="20" t="s">
        <v>64</v>
      </c>
      <c r="V122" s="20" t="s">
        <v>1293</v>
      </c>
      <c r="W122" s="20" t="s">
        <v>896</v>
      </c>
      <c r="X122" s="20" t="s">
        <v>974</v>
      </c>
      <c r="Y122" s="20" t="s">
        <v>137</v>
      </c>
      <c r="Z122" s="20" t="s">
        <v>1529</v>
      </c>
      <c r="AA122" s="20" t="s">
        <v>1635</v>
      </c>
      <c r="AB122" s="21">
        <v>45215</v>
      </c>
      <c r="AC122" s="20"/>
      <c r="AD122" s="20"/>
      <c r="AE122" s="27">
        <v>30</v>
      </c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 t="s">
        <v>1784</v>
      </c>
      <c r="AR122" s="20" t="s">
        <v>1784</v>
      </c>
      <c r="AS122" s="29">
        <v>13000</v>
      </c>
      <c r="AT122" s="63"/>
      <c r="AU122" s="27">
        <v>13000</v>
      </c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7">
        <v>13.5</v>
      </c>
      <c r="BP122" s="20"/>
      <c r="BQ122" s="20"/>
      <c r="BR122" s="20"/>
      <c r="BS122" s="27">
        <v>48.03</v>
      </c>
      <c r="BT122" s="20"/>
      <c r="BU122" s="20"/>
      <c r="BV122" s="20"/>
      <c r="BW122" s="20"/>
      <c r="BX122" s="20"/>
      <c r="BY122" s="28">
        <v>13061.53</v>
      </c>
      <c r="BZ122" s="20"/>
      <c r="CA122" s="20"/>
      <c r="CB122" s="20"/>
      <c r="CC122" s="27">
        <v>1690.24</v>
      </c>
      <c r="CD122" s="20"/>
      <c r="CE122" s="27">
        <v>1301.3499999999999</v>
      </c>
      <c r="CF122" s="20"/>
      <c r="CG122" s="27">
        <v>166.93</v>
      </c>
      <c r="CH122" s="20"/>
      <c r="CI122" s="20">
        <v>130.22</v>
      </c>
      <c r="CJ122" s="20"/>
      <c r="CK122" s="20"/>
      <c r="CL122" s="20"/>
      <c r="CM122" s="27">
        <v>13.5</v>
      </c>
      <c r="CN122" s="20"/>
      <c r="CO122" s="20"/>
      <c r="CP122" s="20"/>
      <c r="CQ122" s="20"/>
      <c r="CR122" s="27">
        <v>48.03</v>
      </c>
      <c r="CS122" s="20"/>
      <c r="CT122" s="20"/>
      <c r="CU122" s="20"/>
      <c r="CV122" s="20"/>
      <c r="CW122" s="20"/>
      <c r="CX122" s="20"/>
      <c r="CY122" s="28">
        <v>3350.27</v>
      </c>
      <c r="CZ122" s="27">
        <v>878.41</v>
      </c>
      <c r="DA122" s="27">
        <v>292.8</v>
      </c>
      <c r="DB122" s="27">
        <v>42.65</v>
      </c>
      <c r="DC122" s="27">
        <v>76.78</v>
      </c>
      <c r="DD122" s="20"/>
      <c r="DE122" s="27">
        <v>41.43</v>
      </c>
      <c r="DF122" s="28">
        <v>1332.07</v>
      </c>
      <c r="DG122" s="28">
        <v>9711.26</v>
      </c>
    </row>
    <row r="123" spans="2:111" s="31" customFormat="1" ht="14.5" x14ac:dyDescent="0.35">
      <c r="B123" s="20">
        <v>7</v>
      </c>
      <c r="C123" s="20" t="s">
        <v>187</v>
      </c>
      <c r="D123" s="20" t="s">
        <v>109</v>
      </c>
      <c r="E123" s="20" t="s">
        <v>192</v>
      </c>
      <c r="F123" s="20" t="s">
        <v>339</v>
      </c>
      <c r="G123" s="20" t="s">
        <v>340</v>
      </c>
      <c r="H123" s="20" t="s">
        <v>341</v>
      </c>
      <c r="I123" s="20" t="s">
        <v>58</v>
      </c>
      <c r="J123" s="20" t="s">
        <v>192</v>
      </c>
      <c r="K123" s="20" t="s">
        <v>59</v>
      </c>
      <c r="L123" s="21">
        <v>32568</v>
      </c>
      <c r="M123" s="20" t="s">
        <v>342</v>
      </c>
      <c r="N123" s="20" t="s">
        <v>327</v>
      </c>
      <c r="O123" s="20" t="s">
        <v>67</v>
      </c>
      <c r="P123" s="20" t="s">
        <v>1051</v>
      </c>
      <c r="Q123" s="20" t="s">
        <v>1052</v>
      </c>
      <c r="R123" s="20" t="s">
        <v>779</v>
      </c>
      <c r="S123" s="20" t="s">
        <v>782</v>
      </c>
      <c r="T123" s="20" t="s">
        <v>63</v>
      </c>
      <c r="U123" s="20" t="s">
        <v>64</v>
      </c>
      <c r="V123" s="20" t="s">
        <v>786</v>
      </c>
      <c r="W123" s="20" t="s">
        <v>891</v>
      </c>
      <c r="X123" s="20" t="s">
        <v>899</v>
      </c>
      <c r="Y123" s="20" t="s">
        <v>63</v>
      </c>
      <c r="Z123" s="20" t="s">
        <v>1529</v>
      </c>
      <c r="AA123" s="20" t="s">
        <v>1535</v>
      </c>
      <c r="AB123" s="21">
        <v>44270</v>
      </c>
      <c r="AC123" s="20"/>
      <c r="AD123" s="20"/>
      <c r="AE123" s="27">
        <v>30</v>
      </c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>
        <v>62</v>
      </c>
      <c r="AR123" s="20">
        <v>40</v>
      </c>
      <c r="AS123" s="29">
        <v>3605</v>
      </c>
      <c r="AT123" s="29">
        <v>150</v>
      </c>
      <c r="AU123" s="27">
        <v>3605</v>
      </c>
      <c r="AV123" s="27">
        <v>150</v>
      </c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7">
        <v>359.5</v>
      </c>
      <c r="BP123" s="20"/>
      <c r="BQ123" s="20"/>
      <c r="BR123" s="20"/>
      <c r="BS123" s="27">
        <v>96.07</v>
      </c>
      <c r="BT123" s="20"/>
      <c r="BU123" s="20"/>
      <c r="BV123" s="27">
        <v>330.46</v>
      </c>
      <c r="BW123" s="27">
        <v>139.69</v>
      </c>
      <c r="BX123" s="20"/>
      <c r="BY123" s="28">
        <v>4680.72</v>
      </c>
      <c r="BZ123" s="20"/>
      <c r="CA123" s="27">
        <v>1442</v>
      </c>
      <c r="CB123" s="20"/>
      <c r="CC123" s="27">
        <v>266.08</v>
      </c>
      <c r="CD123" s="20"/>
      <c r="CE123" s="27">
        <v>458.47</v>
      </c>
      <c r="CF123" s="20"/>
      <c r="CG123" s="27">
        <v>62.81</v>
      </c>
      <c r="CH123" s="20"/>
      <c r="CI123" s="20"/>
      <c r="CJ123" s="20"/>
      <c r="CK123" s="20"/>
      <c r="CL123" s="20"/>
      <c r="CM123" s="27">
        <v>359.5</v>
      </c>
      <c r="CN123" s="20"/>
      <c r="CO123" s="20"/>
      <c r="CP123" s="20"/>
      <c r="CQ123" s="20"/>
      <c r="CR123" s="27">
        <v>96.07</v>
      </c>
      <c r="CS123" s="20"/>
      <c r="CT123" s="20"/>
      <c r="CU123" s="20"/>
      <c r="CV123" s="20"/>
      <c r="CW123" s="20"/>
      <c r="CX123" s="20"/>
      <c r="CY123" s="28">
        <v>2684.93</v>
      </c>
      <c r="CZ123" s="27">
        <v>309.45999999999998</v>
      </c>
      <c r="DA123" s="27">
        <v>103.15</v>
      </c>
      <c r="DB123" s="27">
        <v>16.05</v>
      </c>
      <c r="DC123" s="27">
        <v>27.05</v>
      </c>
      <c r="DD123" s="27">
        <v>34.380000000000003</v>
      </c>
      <c r="DE123" s="27">
        <v>15.59</v>
      </c>
      <c r="DF123" s="28">
        <v>505.68</v>
      </c>
      <c r="DG123" s="28">
        <v>1995.79</v>
      </c>
    </row>
    <row r="124" spans="2:111" s="31" customFormat="1" ht="14.5" x14ac:dyDescent="0.35">
      <c r="B124" s="20">
        <v>118</v>
      </c>
      <c r="C124" s="20" t="s">
        <v>187</v>
      </c>
      <c r="D124" s="20" t="s">
        <v>153</v>
      </c>
      <c r="E124" s="20" t="s">
        <v>270</v>
      </c>
      <c r="F124" s="20" t="s">
        <v>637</v>
      </c>
      <c r="G124" s="20" t="s">
        <v>638</v>
      </c>
      <c r="H124" s="20" t="s">
        <v>639</v>
      </c>
      <c r="I124" s="20" t="s">
        <v>470</v>
      </c>
      <c r="J124" s="20" t="s">
        <v>270</v>
      </c>
      <c r="K124" s="20" t="s">
        <v>59</v>
      </c>
      <c r="L124" s="21">
        <v>29695</v>
      </c>
      <c r="M124" s="20" t="s">
        <v>640</v>
      </c>
      <c r="N124" s="20" t="s">
        <v>129</v>
      </c>
      <c r="O124" s="20" t="s">
        <v>70</v>
      </c>
      <c r="P124" s="20" t="s">
        <v>641</v>
      </c>
      <c r="Q124" s="20" t="s">
        <v>642</v>
      </c>
      <c r="R124" s="20" t="s">
        <v>823</v>
      </c>
      <c r="S124" s="20" t="s">
        <v>782</v>
      </c>
      <c r="T124" s="20" t="s">
        <v>65</v>
      </c>
      <c r="U124" s="20" t="s">
        <v>73</v>
      </c>
      <c r="V124" s="20" t="s">
        <v>853</v>
      </c>
      <c r="W124" s="20" t="s">
        <v>891</v>
      </c>
      <c r="X124" s="20" t="s">
        <v>975</v>
      </c>
      <c r="Y124" s="20"/>
      <c r="Z124" s="20"/>
      <c r="AA124" s="20"/>
      <c r="AB124" s="21">
        <v>45170</v>
      </c>
      <c r="AC124" s="20"/>
      <c r="AD124" s="20"/>
      <c r="AE124" s="27">
        <v>28</v>
      </c>
      <c r="AF124" s="20"/>
      <c r="AG124" s="20">
        <v>2</v>
      </c>
      <c r="AH124" s="20"/>
      <c r="AI124" s="20"/>
      <c r="AJ124" s="20"/>
      <c r="AK124" s="20"/>
      <c r="AL124" s="20"/>
      <c r="AM124" s="20"/>
      <c r="AN124" s="20"/>
      <c r="AO124" s="20"/>
      <c r="AP124" s="20"/>
      <c r="AQ124" s="20" t="s">
        <v>1784</v>
      </c>
      <c r="AR124" s="20" t="s">
        <v>1784</v>
      </c>
      <c r="AS124" s="29">
        <v>35941.39</v>
      </c>
      <c r="AT124" s="63">
        <v>113</v>
      </c>
      <c r="AU124" s="27">
        <v>33545.300000000003</v>
      </c>
      <c r="AV124" s="20">
        <v>113</v>
      </c>
      <c r="AW124" s="20"/>
      <c r="AX124" s="20"/>
      <c r="AY124" s="20"/>
      <c r="AZ124" s="20">
        <v>2396.09</v>
      </c>
      <c r="BA124" s="20"/>
      <c r="BB124" s="20"/>
      <c r="BC124" s="20"/>
      <c r="BD124" s="20">
        <v>11877.19</v>
      </c>
      <c r="BE124" s="20"/>
      <c r="BF124" s="20"/>
      <c r="BG124" s="20"/>
      <c r="BH124" s="20"/>
      <c r="BI124" s="20">
        <v>12632.4</v>
      </c>
      <c r="BJ124" s="20">
        <v>22576.326000000001</v>
      </c>
      <c r="BK124" s="20">
        <v>1068.95</v>
      </c>
      <c r="BL124" s="20"/>
      <c r="BM124" s="20">
        <v>6928.36</v>
      </c>
      <c r="BN124" s="20"/>
      <c r="BO124" s="27"/>
      <c r="BP124" s="20"/>
      <c r="BQ124" s="20"/>
      <c r="BR124" s="20"/>
      <c r="BS124" s="27">
        <v>96.06</v>
      </c>
      <c r="BT124" s="20"/>
      <c r="BU124" s="20"/>
      <c r="BV124" s="20"/>
      <c r="BW124" s="20"/>
      <c r="BX124" s="20"/>
      <c r="BY124" s="28">
        <v>91233.676000000007</v>
      </c>
      <c r="BZ124" s="20"/>
      <c r="CA124" s="20"/>
      <c r="CB124" s="20"/>
      <c r="CC124" s="27">
        <v>21502.07</v>
      </c>
      <c r="CD124" s="20"/>
      <c r="CE124" s="27">
        <v>5863.07</v>
      </c>
      <c r="CF124" s="20"/>
      <c r="CG124" s="27">
        <v>166.93</v>
      </c>
      <c r="CH124" s="20"/>
      <c r="CI124" s="20"/>
      <c r="CJ124" s="20"/>
      <c r="CK124" s="20"/>
      <c r="CL124" s="20"/>
      <c r="CM124" s="27"/>
      <c r="CN124" s="20">
        <v>36205.96</v>
      </c>
      <c r="CO124" s="20"/>
      <c r="CP124" s="20"/>
      <c r="CQ124" s="20"/>
      <c r="CR124" s="27">
        <v>96.06</v>
      </c>
      <c r="CS124" s="20"/>
      <c r="CT124" s="20"/>
      <c r="CU124" s="20">
        <v>12632.4</v>
      </c>
      <c r="CV124" s="20"/>
      <c r="CW124" s="20"/>
      <c r="CX124" s="20"/>
      <c r="CY124" s="28">
        <v>76466.490000000005</v>
      </c>
      <c r="CZ124" s="27">
        <v>6413.68</v>
      </c>
      <c r="DA124" s="27"/>
      <c r="DB124" s="27">
        <v>42.65</v>
      </c>
      <c r="DC124" s="27">
        <v>416</v>
      </c>
      <c r="DD124" s="20"/>
      <c r="DE124" s="27">
        <v>41.43</v>
      </c>
      <c r="DF124" s="28">
        <v>6913.76</v>
      </c>
      <c r="DG124" s="28">
        <v>14767.186</v>
      </c>
    </row>
    <row r="125" spans="2:111" s="31" customFormat="1" ht="14.5" x14ac:dyDescent="0.35">
      <c r="B125" s="20">
        <v>35</v>
      </c>
      <c r="C125" s="20" t="s">
        <v>187</v>
      </c>
      <c r="D125" s="20" t="s">
        <v>109</v>
      </c>
      <c r="E125" s="20" t="s">
        <v>212</v>
      </c>
      <c r="F125" s="20" t="s">
        <v>433</v>
      </c>
      <c r="G125" s="20" t="s">
        <v>434</v>
      </c>
      <c r="H125" s="20" t="s">
        <v>435</v>
      </c>
      <c r="I125" s="20" t="s">
        <v>58</v>
      </c>
      <c r="J125" s="20" t="s">
        <v>212</v>
      </c>
      <c r="K125" s="20" t="s">
        <v>59</v>
      </c>
      <c r="L125" s="21">
        <v>36163</v>
      </c>
      <c r="M125" s="20" t="s">
        <v>342</v>
      </c>
      <c r="N125" s="20" t="s">
        <v>129</v>
      </c>
      <c r="O125" s="20" t="s">
        <v>67</v>
      </c>
      <c r="P125" s="20" t="s">
        <v>1051</v>
      </c>
      <c r="Q125" s="20" t="s">
        <v>1052</v>
      </c>
      <c r="R125" s="20" t="s">
        <v>783</v>
      </c>
      <c r="S125" s="20" t="s">
        <v>780</v>
      </c>
      <c r="T125" s="20" t="s">
        <v>63</v>
      </c>
      <c r="U125" s="20" t="s">
        <v>64</v>
      </c>
      <c r="V125" s="20" t="s">
        <v>804</v>
      </c>
      <c r="W125" s="20" t="s">
        <v>891</v>
      </c>
      <c r="X125" s="20" t="s">
        <v>919</v>
      </c>
      <c r="Y125" s="20" t="s">
        <v>63</v>
      </c>
      <c r="Z125" s="20" t="s">
        <v>1529</v>
      </c>
      <c r="AA125" s="20" t="s">
        <v>1564</v>
      </c>
      <c r="AB125" s="21">
        <v>45536</v>
      </c>
      <c r="AC125" s="20"/>
      <c r="AD125" s="20"/>
      <c r="AE125" s="27">
        <v>30</v>
      </c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>
        <v>22</v>
      </c>
      <c r="AR125" s="20" t="s">
        <v>1784</v>
      </c>
      <c r="AS125" s="29">
        <v>3296</v>
      </c>
      <c r="AT125" s="63"/>
      <c r="AU125" s="27">
        <v>3296</v>
      </c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7">
        <v>401.6</v>
      </c>
      <c r="BP125" s="20"/>
      <c r="BQ125" s="20"/>
      <c r="BR125" s="20"/>
      <c r="BS125" s="27">
        <v>96.07</v>
      </c>
      <c r="BT125" s="20"/>
      <c r="BU125" s="20"/>
      <c r="BV125" s="20"/>
      <c r="BW125" s="20">
        <v>45.32</v>
      </c>
      <c r="BX125" s="20"/>
      <c r="BY125" s="28">
        <v>3838.99</v>
      </c>
      <c r="BZ125" s="20"/>
      <c r="CA125" s="20">
        <v>1318.4</v>
      </c>
      <c r="CB125" s="20"/>
      <c r="CC125" s="27">
        <v>67.61</v>
      </c>
      <c r="CD125" s="20"/>
      <c r="CE125" s="27">
        <v>374.29</v>
      </c>
      <c r="CF125" s="20"/>
      <c r="CG125" s="27">
        <v>51.28</v>
      </c>
      <c r="CH125" s="20"/>
      <c r="CI125" s="20"/>
      <c r="CJ125" s="20"/>
      <c r="CK125" s="20"/>
      <c r="CL125" s="20"/>
      <c r="CM125" s="27">
        <v>401.6</v>
      </c>
      <c r="CN125" s="20"/>
      <c r="CO125" s="20"/>
      <c r="CP125" s="20"/>
      <c r="CQ125" s="20"/>
      <c r="CR125" s="27">
        <v>96.07</v>
      </c>
      <c r="CS125" s="20"/>
      <c r="CT125" s="20"/>
      <c r="CU125" s="20"/>
      <c r="CV125" s="20"/>
      <c r="CW125" s="20"/>
      <c r="CX125" s="20"/>
      <c r="CY125" s="28">
        <v>2309.25</v>
      </c>
      <c r="CZ125" s="27">
        <v>252.65</v>
      </c>
      <c r="DA125" s="27">
        <v>84.22</v>
      </c>
      <c r="DB125" s="27">
        <v>13.1</v>
      </c>
      <c r="DC125" s="27">
        <v>22.08</v>
      </c>
      <c r="DD125" s="20">
        <v>28.07</v>
      </c>
      <c r="DE125" s="27">
        <v>12.73</v>
      </c>
      <c r="DF125" s="28">
        <v>412.85</v>
      </c>
      <c r="DG125" s="28">
        <v>1529.74</v>
      </c>
    </row>
    <row r="126" spans="2:111" s="31" customFormat="1" ht="14.5" x14ac:dyDescent="0.35">
      <c r="B126" s="20">
        <v>141</v>
      </c>
      <c r="C126" s="20" t="s">
        <v>187</v>
      </c>
      <c r="D126" s="20" t="s">
        <v>109</v>
      </c>
      <c r="E126" s="20" t="s">
        <v>1048</v>
      </c>
      <c r="F126" s="20" t="s">
        <v>118</v>
      </c>
      <c r="G126" s="20" t="s">
        <v>680</v>
      </c>
      <c r="H126" s="20" t="s">
        <v>1049</v>
      </c>
      <c r="I126" s="20" t="s">
        <v>58</v>
      </c>
      <c r="J126" s="20">
        <v>71520231</v>
      </c>
      <c r="K126" s="20" t="s">
        <v>59</v>
      </c>
      <c r="L126" s="21">
        <v>36620</v>
      </c>
      <c r="M126" s="20" t="s">
        <v>342</v>
      </c>
      <c r="N126" s="20" t="s">
        <v>129</v>
      </c>
      <c r="O126" s="20" t="s">
        <v>67</v>
      </c>
      <c r="P126" s="20" t="s">
        <v>1051</v>
      </c>
      <c r="Q126" s="20" t="s">
        <v>1052</v>
      </c>
      <c r="R126" s="20" t="s">
        <v>783</v>
      </c>
      <c r="S126" s="20" t="s">
        <v>780</v>
      </c>
      <c r="T126" s="20" t="s">
        <v>63</v>
      </c>
      <c r="U126" s="20" t="s">
        <v>64</v>
      </c>
      <c r="V126" s="20" t="s">
        <v>1050</v>
      </c>
      <c r="W126" s="20" t="s">
        <v>898</v>
      </c>
      <c r="X126" s="20" t="s">
        <v>1347</v>
      </c>
      <c r="Y126" s="20"/>
      <c r="Z126" s="20"/>
      <c r="AA126" s="20"/>
      <c r="AB126" s="21">
        <v>45809</v>
      </c>
      <c r="AC126" s="20"/>
      <c r="AD126" s="20"/>
      <c r="AE126" s="27">
        <v>30</v>
      </c>
      <c r="AF126" s="20"/>
      <c r="AG126" s="20"/>
      <c r="AH126" s="20"/>
      <c r="AI126" s="20"/>
      <c r="AJ126" s="20"/>
      <c r="AK126" s="20"/>
      <c r="AL126" s="20">
        <v>1</v>
      </c>
      <c r="AM126" s="20"/>
      <c r="AN126" s="20"/>
      <c r="AO126" s="20"/>
      <c r="AP126" s="20"/>
      <c r="AQ126" s="20">
        <v>20</v>
      </c>
      <c r="AR126" s="20" t="s">
        <v>1784</v>
      </c>
      <c r="AS126" s="29">
        <v>3200</v>
      </c>
      <c r="AT126" s="63"/>
      <c r="AU126" s="27">
        <v>3200</v>
      </c>
      <c r="AV126" s="20"/>
      <c r="AW126" s="20">
        <v>16.670000000000002</v>
      </c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7">
        <v>393.8</v>
      </c>
      <c r="BP126" s="20"/>
      <c r="BQ126" s="20"/>
      <c r="BR126" s="20"/>
      <c r="BS126" s="27">
        <v>96.07</v>
      </c>
      <c r="BT126" s="20"/>
      <c r="BU126" s="20"/>
      <c r="BV126" s="20"/>
      <c r="BW126" s="20">
        <v>40</v>
      </c>
      <c r="BX126" s="20"/>
      <c r="BY126" s="28">
        <v>3746.54</v>
      </c>
      <c r="BZ126" s="20"/>
      <c r="CA126" s="20">
        <v>1280</v>
      </c>
      <c r="CB126" s="20"/>
      <c r="CC126" s="27"/>
      <c r="CD126" s="20"/>
      <c r="CE126" s="27">
        <v>365.05</v>
      </c>
      <c r="CF126" s="20"/>
      <c r="CG126" s="27">
        <v>50.01</v>
      </c>
      <c r="CH126" s="20"/>
      <c r="CI126" s="20"/>
      <c r="CJ126" s="20"/>
      <c r="CK126" s="20"/>
      <c r="CL126" s="20"/>
      <c r="CM126" s="27">
        <v>393.8</v>
      </c>
      <c r="CN126" s="20"/>
      <c r="CO126" s="20"/>
      <c r="CP126" s="20"/>
      <c r="CQ126" s="20"/>
      <c r="CR126" s="27">
        <v>96.07</v>
      </c>
      <c r="CS126" s="20"/>
      <c r="CT126" s="20"/>
      <c r="CU126" s="20"/>
      <c r="CV126" s="20"/>
      <c r="CW126" s="20"/>
      <c r="CX126" s="20"/>
      <c r="CY126" s="28">
        <v>2184.9299999999998</v>
      </c>
      <c r="CZ126" s="27">
        <v>246.41</v>
      </c>
      <c r="DA126" s="27">
        <v>82.14</v>
      </c>
      <c r="DB126" s="27">
        <v>12.78</v>
      </c>
      <c r="DC126" s="27">
        <v>21.54</v>
      </c>
      <c r="DD126" s="20">
        <v>27.38</v>
      </c>
      <c r="DE126" s="27">
        <v>12.41</v>
      </c>
      <c r="DF126" s="28">
        <v>402.66</v>
      </c>
      <c r="DG126" s="28">
        <v>1561.61</v>
      </c>
    </row>
    <row r="127" spans="2:111" s="31" customFormat="1" ht="14.5" x14ac:dyDescent="0.35">
      <c r="B127" s="20">
        <v>44</v>
      </c>
      <c r="C127" s="20" t="s">
        <v>187</v>
      </c>
      <c r="D127" s="20" t="s">
        <v>109</v>
      </c>
      <c r="E127" s="20" t="s">
        <v>220</v>
      </c>
      <c r="F127" s="20" t="s">
        <v>461</v>
      </c>
      <c r="G127" s="20" t="s">
        <v>462</v>
      </c>
      <c r="H127" s="20" t="s">
        <v>463</v>
      </c>
      <c r="I127" s="20" t="s">
        <v>58</v>
      </c>
      <c r="J127" s="20" t="s">
        <v>220</v>
      </c>
      <c r="K127" s="20" t="s">
        <v>59</v>
      </c>
      <c r="L127" s="21">
        <v>35597</v>
      </c>
      <c r="M127" s="20" t="s">
        <v>464</v>
      </c>
      <c r="N127" s="20" t="s">
        <v>132</v>
      </c>
      <c r="O127" s="20" t="s">
        <v>67</v>
      </c>
      <c r="P127" s="20" t="s">
        <v>68</v>
      </c>
      <c r="Q127" s="20" t="s">
        <v>69</v>
      </c>
      <c r="R127" s="20" t="s">
        <v>783</v>
      </c>
      <c r="S127" s="20" t="s">
        <v>780</v>
      </c>
      <c r="T127" s="20" t="s">
        <v>63</v>
      </c>
      <c r="U127" s="20" t="s">
        <v>64</v>
      </c>
      <c r="V127" s="20" t="s">
        <v>810</v>
      </c>
      <c r="W127" s="20" t="s">
        <v>896</v>
      </c>
      <c r="X127" s="20" t="s">
        <v>927</v>
      </c>
      <c r="Y127" s="20" t="s">
        <v>63</v>
      </c>
      <c r="Z127" s="20" t="s">
        <v>1529</v>
      </c>
      <c r="AA127" s="20" t="s">
        <v>1573</v>
      </c>
      <c r="AB127" s="21">
        <v>45390</v>
      </c>
      <c r="AC127" s="20"/>
      <c r="AD127" s="20"/>
      <c r="AE127" s="27">
        <v>30</v>
      </c>
      <c r="AF127" s="20"/>
      <c r="AG127" s="20"/>
      <c r="AH127" s="20"/>
      <c r="AI127" s="20"/>
      <c r="AJ127" s="20"/>
      <c r="AK127" s="20"/>
      <c r="AL127" s="20">
        <v>1</v>
      </c>
      <c r="AM127" s="20"/>
      <c r="AN127" s="20"/>
      <c r="AO127" s="20"/>
      <c r="AP127" s="20"/>
      <c r="AQ127" s="20">
        <v>64</v>
      </c>
      <c r="AR127" s="20">
        <v>17</v>
      </c>
      <c r="AS127" s="29">
        <v>3090</v>
      </c>
      <c r="AT127" s="63"/>
      <c r="AU127" s="27">
        <v>3090</v>
      </c>
      <c r="AV127" s="20"/>
      <c r="AW127" s="20">
        <v>16.09</v>
      </c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7">
        <v>384.6</v>
      </c>
      <c r="BP127" s="20"/>
      <c r="BQ127" s="20"/>
      <c r="BR127" s="20"/>
      <c r="BS127" s="27">
        <v>96.07</v>
      </c>
      <c r="BT127" s="20"/>
      <c r="BU127" s="20"/>
      <c r="BV127" s="20">
        <v>120.38</v>
      </c>
      <c r="BW127" s="20">
        <v>123.6</v>
      </c>
      <c r="BX127" s="20"/>
      <c r="BY127" s="28">
        <v>3830.74</v>
      </c>
      <c r="BZ127" s="20"/>
      <c r="CA127" s="20">
        <v>1236</v>
      </c>
      <c r="CB127" s="20"/>
      <c r="CC127" s="27">
        <v>79.98</v>
      </c>
      <c r="CD127" s="20"/>
      <c r="CE127" s="27">
        <v>373.47</v>
      </c>
      <c r="CF127" s="20"/>
      <c r="CG127" s="27">
        <v>51.17</v>
      </c>
      <c r="CH127" s="20"/>
      <c r="CI127" s="20"/>
      <c r="CJ127" s="20"/>
      <c r="CK127" s="20"/>
      <c r="CL127" s="20"/>
      <c r="CM127" s="27">
        <v>384.6</v>
      </c>
      <c r="CN127" s="20"/>
      <c r="CO127" s="20"/>
      <c r="CP127" s="20"/>
      <c r="CQ127" s="20"/>
      <c r="CR127" s="27">
        <v>96.07</v>
      </c>
      <c r="CS127" s="20"/>
      <c r="CT127" s="20"/>
      <c r="CU127" s="20"/>
      <c r="CV127" s="20"/>
      <c r="CW127" s="20"/>
      <c r="CX127" s="20"/>
      <c r="CY127" s="28">
        <v>2221.29</v>
      </c>
      <c r="CZ127" s="27">
        <v>252.09</v>
      </c>
      <c r="DA127" s="27">
        <v>84.03</v>
      </c>
      <c r="DB127" s="27">
        <v>13.07</v>
      </c>
      <c r="DC127" s="27">
        <v>22.03</v>
      </c>
      <c r="DD127" s="20">
        <v>28.01</v>
      </c>
      <c r="DE127" s="27">
        <v>12.7</v>
      </c>
      <c r="DF127" s="28">
        <v>411.93</v>
      </c>
      <c r="DG127" s="28">
        <v>1609.45</v>
      </c>
    </row>
    <row r="128" spans="2:111" s="31" customFormat="1" ht="14.5" x14ac:dyDescent="0.35">
      <c r="B128" s="20">
        <v>122</v>
      </c>
      <c r="C128" s="20" t="s">
        <v>187</v>
      </c>
      <c r="D128" s="20" t="s">
        <v>105</v>
      </c>
      <c r="E128" s="20" t="s">
        <v>1222</v>
      </c>
      <c r="F128" s="20" t="s">
        <v>1223</v>
      </c>
      <c r="G128" s="20" t="s">
        <v>1224</v>
      </c>
      <c r="H128" s="20" t="s">
        <v>1225</v>
      </c>
      <c r="I128" s="20" t="s">
        <v>58</v>
      </c>
      <c r="J128" s="20" t="s">
        <v>1222</v>
      </c>
      <c r="K128" s="20" t="s">
        <v>66</v>
      </c>
      <c r="L128" s="21">
        <v>35980</v>
      </c>
      <c r="M128" s="20" t="s">
        <v>502</v>
      </c>
      <c r="N128" s="20" t="s">
        <v>129</v>
      </c>
      <c r="O128" s="20" t="s">
        <v>67</v>
      </c>
      <c r="P128" s="20" t="s">
        <v>358</v>
      </c>
      <c r="Q128" s="20" t="s">
        <v>359</v>
      </c>
      <c r="R128" s="20" t="s">
        <v>783</v>
      </c>
      <c r="S128" s="20" t="s">
        <v>787</v>
      </c>
      <c r="T128" s="20" t="s">
        <v>63</v>
      </c>
      <c r="U128" s="20" t="s">
        <v>64</v>
      </c>
      <c r="V128" s="20" t="s">
        <v>1226</v>
      </c>
      <c r="W128" s="20" t="s">
        <v>891</v>
      </c>
      <c r="X128" s="20" t="s">
        <v>1227</v>
      </c>
      <c r="Y128" s="20" t="s">
        <v>63</v>
      </c>
      <c r="Z128" s="20" t="s">
        <v>1529</v>
      </c>
      <c r="AA128" s="20" t="s">
        <v>1641</v>
      </c>
      <c r="AB128" s="21">
        <v>45771</v>
      </c>
      <c r="AC128" s="20"/>
      <c r="AD128" s="20"/>
      <c r="AE128" s="27">
        <v>30</v>
      </c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 t="s">
        <v>1784</v>
      </c>
      <c r="AR128" s="20" t="s">
        <v>1784</v>
      </c>
      <c r="AS128" s="29">
        <v>3800</v>
      </c>
      <c r="AT128" s="63"/>
      <c r="AU128" s="27">
        <v>3800</v>
      </c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7">
        <v>290.5</v>
      </c>
      <c r="BP128" s="20"/>
      <c r="BQ128" s="20"/>
      <c r="BR128" s="20"/>
      <c r="BS128" s="27">
        <v>48.03</v>
      </c>
      <c r="BT128" s="20"/>
      <c r="BU128" s="20"/>
      <c r="BV128" s="20"/>
      <c r="BW128" s="20"/>
      <c r="BX128" s="20"/>
      <c r="BY128" s="28">
        <v>4138.53</v>
      </c>
      <c r="BZ128" s="20"/>
      <c r="CA128" s="20"/>
      <c r="CB128" s="20"/>
      <c r="CC128" s="27">
        <v>35.24</v>
      </c>
      <c r="CD128" s="20"/>
      <c r="CE128" s="27">
        <v>409.05</v>
      </c>
      <c r="CF128" s="20"/>
      <c r="CG128" s="27">
        <v>56.04</v>
      </c>
      <c r="CH128" s="20"/>
      <c r="CI128" s="20"/>
      <c r="CJ128" s="20"/>
      <c r="CK128" s="20"/>
      <c r="CL128" s="20"/>
      <c r="CM128" s="27">
        <v>290.5</v>
      </c>
      <c r="CN128" s="20"/>
      <c r="CO128" s="20"/>
      <c r="CP128" s="20"/>
      <c r="CQ128" s="20"/>
      <c r="CR128" s="27">
        <v>48.03</v>
      </c>
      <c r="CS128" s="20"/>
      <c r="CT128" s="20"/>
      <c r="CU128" s="20"/>
      <c r="CV128" s="20"/>
      <c r="CW128" s="20"/>
      <c r="CX128" s="20"/>
      <c r="CY128" s="28">
        <v>838.86</v>
      </c>
      <c r="CZ128" s="27">
        <v>368.15</v>
      </c>
      <c r="DA128" s="27"/>
      <c r="DB128" s="27">
        <v>14.32</v>
      </c>
      <c r="DC128" s="27">
        <v>24.13</v>
      </c>
      <c r="DD128" s="20">
        <v>30.68</v>
      </c>
      <c r="DE128" s="27">
        <v>13.91</v>
      </c>
      <c r="DF128" s="28">
        <v>451.19</v>
      </c>
      <c r="DG128" s="28">
        <v>3299.67</v>
      </c>
    </row>
    <row r="129" spans="2:111" s="31" customFormat="1" ht="14.5" x14ac:dyDescent="0.35">
      <c r="B129" s="20">
        <v>184</v>
      </c>
      <c r="C129" s="20" t="s">
        <v>187</v>
      </c>
      <c r="D129" s="20" t="s">
        <v>105</v>
      </c>
      <c r="E129" s="20" t="s">
        <v>1504</v>
      </c>
      <c r="F129" s="20" t="s">
        <v>607</v>
      </c>
      <c r="G129" s="20" t="s">
        <v>1034</v>
      </c>
      <c r="H129" s="20" t="s">
        <v>1505</v>
      </c>
      <c r="I129" s="20" t="s">
        <v>58</v>
      </c>
      <c r="J129" s="20" t="s">
        <v>1504</v>
      </c>
      <c r="K129" s="20" t="s">
        <v>59</v>
      </c>
      <c r="L129" s="21">
        <v>35545</v>
      </c>
      <c r="M129" s="20" t="s">
        <v>412</v>
      </c>
      <c r="N129" s="20" t="s">
        <v>129</v>
      </c>
      <c r="O129" s="20" t="s">
        <v>60</v>
      </c>
      <c r="P129" s="20" t="s">
        <v>321</v>
      </c>
      <c r="Q129" s="20" t="s">
        <v>322</v>
      </c>
      <c r="R129" s="20" t="s">
        <v>783</v>
      </c>
      <c r="S129" s="20" t="s">
        <v>787</v>
      </c>
      <c r="T129" s="20" t="s">
        <v>63</v>
      </c>
      <c r="U129" s="20" t="s">
        <v>64</v>
      </c>
      <c r="V129" s="20" t="s">
        <v>1506</v>
      </c>
      <c r="W129" s="20" t="s">
        <v>898</v>
      </c>
      <c r="X129" s="20" t="s">
        <v>1507</v>
      </c>
      <c r="Y129" s="20"/>
      <c r="Z129" s="20"/>
      <c r="AA129" s="20"/>
      <c r="AB129" s="21">
        <v>45880</v>
      </c>
      <c r="AC129" s="20"/>
      <c r="AD129" s="20"/>
      <c r="AE129" s="27">
        <v>30</v>
      </c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>
        <v>1</v>
      </c>
      <c r="AQ129" s="20" t="s">
        <v>1784</v>
      </c>
      <c r="AR129" s="20" t="s">
        <v>1784</v>
      </c>
      <c r="AS129" s="29">
        <v>1470</v>
      </c>
      <c r="AT129" s="63">
        <v>113</v>
      </c>
      <c r="AU129" s="27">
        <v>1470</v>
      </c>
      <c r="AV129" s="20">
        <v>113</v>
      </c>
      <c r="AW129" s="20"/>
      <c r="AX129" s="20"/>
      <c r="AY129" s="20"/>
      <c r="AZ129" s="20"/>
      <c r="BA129" s="20"/>
      <c r="BB129" s="20"/>
      <c r="BC129" s="20"/>
      <c r="BD129" s="20"/>
      <c r="BE129" s="20">
        <v>390</v>
      </c>
      <c r="BF129" s="20"/>
      <c r="BG129" s="20">
        <v>520</v>
      </c>
      <c r="BH129" s="20"/>
      <c r="BI129" s="20"/>
      <c r="BJ129" s="20"/>
      <c r="BK129" s="20"/>
      <c r="BL129" s="20"/>
      <c r="BM129" s="20"/>
      <c r="BN129" s="20">
        <v>105.53</v>
      </c>
      <c r="BO129" s="27"/>
      <c r="BP129" s="20"/>
      <c r="BQ129" s="20"/>
      <c r="BR129" s="20"/>
      <c r="BS129" s="27">
        <v>48.03</v>
      </c>
      <c r="BT129" s="20"/>
      <c r="BU129" s="20">
        <v>630</v>
      </c>
      <c r="BV129" s="20"/>
      <c r="BW129" s="20"/>
      <c r="BX129" s="20"/>
      <c r="BY129" s="28">
        <v>3276.56</v>
      </c>
      <c r="BZ129" s="20"/>
      <c r="CA129" s="20"/>
      <c r="CB129" s="20"/>
      <c r="CC129" s="27"/>
      <c r="CD129" s="20"/>
      <c r="CE129" s="27">
        <v>270.85000000000002</v>
      </c>
      <c r="CF129" s="20"/>
      <c r="CG129" s="27">
        <v>37.11</v>
      </c>
      <c r="CH129" s="20"/>
      <c r="CI129" s="20"/>
      <c r="CJ129" s="20"/>
      <c r="CK129" s="20"/>
      <c r="CL129" s="20"/>
      <c r="CM129" s="27"/>
      <c r="CN129" s="20"/>
      <c r="CO129" s="20"/>
      <c r="CP129" s="20"/>
      <c r="CQ129" s="20"/>
      <c r="CR129" s="27">
        <v>48.03</v>
      </c>
      <c r="CS129" s="20">
        <v>4.9000000000000004</v>
      </c>
      <c r="CT129" s="20"/>
      <c r="CU129" s="20"/>
      <c r="CV129" s="20"/>
      <c r="CW129" s="20"/>
      <c r="CX129" s="20"/>
      <c r="CY129" s="28">
        <v>360.89</v>
      </c>
      <c r="CZ129" s="27">
        <v>182.83</v>
      </c>
      <c r="DA129" s="27">
        <v>60.94</v>
      </c>
      <c r="DB129" s="27">
        <v>9.48</v>
      </c>
      <c r="DC129" s="27">
        <v>15.98</v>
      </c>
      <c r="DD129" s="20"/>
      <c r="DE129" s="27">
        <v>9.2100000000000009</v>
      </c>
      <c r="DF129" s="28">
        <v>278.44</v>
      </c>
      <c r="DG129" s="28">
        <v>2915.67</v>
      </c>
    </row>
    <row r="130" spans="2:111" s="31" customFormat="1" ht="14.5" x14ac:dyDescent="0.35">
      <c r="B130" s="20">
        <v>149</v>
      </c>
      <c r="C130" s="20" t="s">
        <v>187</v>
      </c>
      <c r="D130" s="20" t="s">
        <v>105</v>
      </c>
      <c r="E130" s="20" t="s">
        <v>1115</v>
      </c>
      <c r="F130" s="20" t="s">
        <v>1116</v>
      </c>
      <c r="G130" s="20" t="s">
        <v>465</v>
      </c>
      <c r="H130" s="20" t="s">
        <v>1117</v>
      </c>
      <c r="I130" s="20" t="s">
        <v>58</v>
      </c>
      <c r="J130" s="20" t="s">
        <v>1115</v>
      </c>
      <c r="K130" s="20" t="s">
        <v>59</v>
      </c>
      <c r="L130" s="21">
        <v>29074</v>
      </c>
      <c r="M130" s="20" t="s">
        <v>400</v>
      </c>
      <c r="N130" s="20" t="s">
        <v>327</v>
      </c>
      <c r="O130" s="20" t="s">
        <v>60</v>
      </c>
      <c r="P130" s="20" t="s">
        <v>321</v>
      </c>
      <c r="Q130" s="20" t="s">
        <v>322</v>
      </c>
      <c r="R130" s="20" t="s">
        <v>783</v>
      </c>
      <c r="S130" s="20" t="s">
        <v>780</v>
      </c>
      <c r="T130" s="20" t="s">
        <v>65</v>
      </c>
      <c r="U130" s="20" t="s">
        <v>73</v>
      </c>
      <c r="V130" s="20" t="s">
        <v>1118</v>
      </c>
      <c r="W130" s="20" t="s">
        <v>893</v>
      </c>
      <c r="X130" s="20" t="s">
        <v>1119</v>
      </c>
      <c r="Y130" s="20" t="s">
        <v>65</v>
      </c>
      <c r="Z130" s="20" t="s">
        <v>1533</v>
      </c>
      <c r="AA130" s="20" t="s">
        <v>1659</v>
      </c>
      <c r="AB130" s="21">
        <v>45705</v>
      </c>
      <c r="AC130" s="20"/>
      <c r="AD130" s="20"/>
      <c r="AE130" s="27">
        <v>30</v>
      </c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>
        <v>1</v>
      </c>
      <c r="AQ130" s="20" t="s">
        <v>1784</v>
      </c>
      <c r="AR130" s="20" t="s">
        <v>1784</v>
      </c>
      <c r="AS130" s="29">
        <v>1680</v>
      </c>
      <c r="AT130" s="63"/>
      <c r="AU130" s="27">
        <v>1680</v>
      </c>
      <c r="AV130" s="20"/>
      <c r="AW130" s="20"/>
      <c r="AX130" s="20"/>
      <c r="AY130" s="20"/>
      <c r="AZ130" s="20"/>
      <c r="BA130" s="20"/>
      <c r="BB130" s="20"/>
      <c r="BC130" s="20"/>
      <c r="BD130" s="20"/>
      <c r="BE130" s="20">
        <v>390</v>
      </c>
      <c r="BF130" s="20"/>
      <c r="BG130" s="20">
        <v>520</v>
      </c>
      <c r="BH130" s="20"/>
      <c r="BI130" s="20"/>
      <c r="BJ130" s="20"/>
      <c r="BK130" s="20"/>
      <c r="BL130" s="20"/>
      <c r="BM130" s="20"/>
      <c r="BN130" s="20">
        <v>112</v>
      </c>
      <c r="BO130" s="27"/>
      <c r="BP130" s="20"/>
      <c r="BQ130" s="20"/>
      <c r="BR130" s="20"/>
      <c r="BS130" s="27">
        <v>48.03</v>
      </c>
      <c r="BT130" s="20"/>
      <c r="BU130" s="20">
        <v>271.32</v>
      </c>
      <c r="BV130" s="20"/>
      <c r="BW130" s="20"/>
      <c r="BX130" s="20"/>
      <c r="BY130" s="28">
        <v>3021.35</v>
      </c>
      <c r="BZ130" s="20"/>
      <c r="CA130" s="20"/>
      <c r="CB130" s="20"/>
      <c r="CC130" s="27"/>
      <c r="CD130" s="20"/>
      <c r="CE130" s="27">
        <v>245.33</v>
      </c>
      <c r="CF130" s="20"/>
      <c r="CG130" s="27">
        <v>33.61</v>
      </c>
      <c r="CH130" s="20"/>
      <c r="CI130" s="20"/>
      <c r="CJ130" s="20"/>
      <c r="CK130" s="20"/>
      <c r="CL130" s="20"/>
      <c r="CM130" s="27"/>
      <c r="CN130" s="20"/>
      <c r="CO130" s="20"/>
      <c r="CP130" s="20"/>
      <c r="CQ130" s="20"/>
      <c r="CR130" s="27">
        <v>48.03</v>
      </c>
      <c r="CS130" s="20"/>
      <c r="CT130" s="20"/>
      <c r="CU130" s="20"/>
      <c r="CV130" s="20"/>
      <c r="CW130" s="20"/>
      <c r="CX130" s="20"/>
      <c r="CY130" s="28">
        <v>326.97000000000003</v>
      </c>
      <c r="CZ130" s="27">
        <v>165.6</v>
      </c>
      <c r="DA130" s="27">
        <v>55.2</v>
      </c>
      <c r="DB130" s="27">
        <v>8.59</v>
      </c>
      <c r="DC130" s="27">
        <v>14.47</v>
      </c>
      <c r="DD130" s="20"/>
      <c r="DE130" s="27">
        <v>8.34</v>
      </c>
      <c r="DF130" s="28">
        <v>252.2</v>
      </c>
      <c r="DG130" s="28">
        <v>2694.38</v>
      </c>
    </row>
    <row r="131" spans="2:111" s="31" customFormat="1" ht="14.5" x14ac:dyDescent="0.35">
      <c r="B131" s="20">
        <v>27</v>
      </c>
      <c r="C131" s="20" t="s">
        <v>187</v>
      </c>
      <c r="D131" s="20" t="s">
        <v>105</v>
      </c>
      <c r="E131" s="20" t="s">
        <v>1194</v>
      </c>
      <c r="F131" s="20" t="s">
        <v>413</v>
      </c>
      <c r="G131" s="20" t="s">
        <v>603</v>
      </c>
      <c r="H131" s="20" t="s">
        <v>1195</v>
      </c>
      <c r="I131" s="20" t="s">
        <v>58</v>
      </c>
      <c r="J131" s="20" t="s">
        <v>1194</v>
      </c>
      <c r="K131" s="20" t="s">
        <v>59</v>
      </c>
      <c r="L131" s="21">
        <v>36146</v>
      </c>
      <c r="M131" s="20" t="s">
        <v>1196</v>
      </c>
      <c r="N131" s="20" t="s">
        <v>129</v>
      </c>
      <c r="O131" s="20" t="s">
        <v>60</v>
      </c>
      <c r="P131" s="20" t="s">
        <v>346</v>
      </c>
      <c r="Q131" s="20" t="s">
        <v>347</v>
      </c>
      <c r="R131" s="20" t="s">
        <v>783</v>
      </c>
      <c r="S131" s="20" t="s">
        <v>787</v>
      </c>
      <c r="T131" s="20" t="s">
        <v>65</v>
      </c>
      <c r="U131" s="20" t="s">
        <v>73</v>
      </c>
      <c r="V131" s="20" t="s">
        <v>1197</v>
      </c>
      <c r="W131" s="20" t="s">
        <v>898</v>
      </c>
      <c r="X131" s="20" t="s">
        <v>1198</v>
      </c>
      <c r="Y131" s="20" t="s">
        <v>65</v>
      </c>
      <c r="Z131" s="20" t="s">
        <v>1529</v>
      </c>
      <c r="AA131" s="20" t="s">
        <v>1555</v>
      </c>
      <c r="AB131" s="21">
        <v>45750</v>
      </c>
      <c r="AC131" s="20"/>
      <c r="AD131" s="20"/>
      <c r="AE131" s="27">
        <v>30</v>
      </c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 t="s">
        <v>1784</v>
      </c>
      <c r="AR131" s="20" t="s">
        <v>1784</v>
      </c>
      <c r="AS131" s="29">
        <v>1750</v>
      </c>
      <c r="AT131" s="63">
        <v>113</v>
      </c>
      <c r="AU131" s="27">
        <v>1750</v>
      </c>
      <c r="AV131" s="20">
        <v>113</v>
      </c>
      <c r="AW131" s="20"/>
      <c r="AX131" s="20"/>
      <c r="AY131" s="20"/>
      <c r="AZ131" s="20"/>
      <c r="BA131" s="20"/>
      <c r="BB131" s="20"/>
      <c r="BC131" s="20"/>
      <c r="BD131" s="20"/>
      <c r="BE131" s="20">
        <v>450</v>
      </c>
      <c r="BF131" s="20"/>
      <c r="BG131" s="20">
        <v>520</v>
      </c>
      <c r="BH131" s="20"/>
      <c r="BI131" s="20"/>
      <c r="BJ131" s="20"/>
      <c r="BK131" s="20"/>
      <c r="BL131" s="20"/>
      <c r="BM131" s="20"/>
      <c r="BN131" s="20"/>
      <c r="BO131" s="27"/>
      <c r="BP131" s="20"/>
      <c r="BQ131" s="20"/>
      <c r="BR131" s="20"/>
      <c r="BS131" s="27">
        <v>48.03</v>
      </c>
      <c r="BT131" s="20"/>
      <c r="BU131" s="20">
        <v>500.59</v>
      </c>
      <c r="BV131" s="20"/>
      <c r="BW131" s="20"/>
      <c r="BX131" s="20"/>
      <c r="BY131" s="28">
        <v>3381.62</v>
      </c>
      <c r="BZ131" s="20"/>
      <c r="CA131" s="20"/>
      <c r="CB131" s="20"/>
      <c r="CC131" s="27"/>
      <c r="CD131" s="20"/>
      <c r="CE131" s="27">
        <v>281.36</v>
      </c>
      <c r="CF131" s="20"/>
      <c r="CG131" s="27">
        <v>38.549999999999997</v>
      </c>
      <c r="CH131" s="20"/>
      <c r="CI131" s="20"/>
      <c r="CJ131" s="20"/>
      <c r="CK131" s="20"/>
      <c r="CL131" s="20"/>
      <c r="CM131" s="27"/>
      <c r="CN131" s="20"/>
      <c r="CO131" s="20"/>
      <c r="CP131" s="20"/>
      <c r="CQ131" s="20"/>
      <c r="CR131" s="27">
        <v>48.03</v>
      </c>
      <c r="CS131" s="20"/>
      <c r="CT131" s="20"/>
      <c r="CU131" s="20"/>
      <c r="CV131" s="20"/>
      <c r="CW131" s="20"/>
      <c r="CX131" s="20"/>
      <c r="CY131" s="28">
        <v>367.94</v>
      </c>
      <c r="CZ131" s="27">
        <v>189.92</v>
      </c>
      <c r="DA131" s="27">
        <v>63.31</v>
      </c>
      <c r="DB131" s="27">
        <v>9.85</v>
      </c>
      <c r="DC131" s="27">
        <v>16.600000000000001</v>
      </c>
      <c r="DD131" s="20"/>
      <c r="DE131" s="27">
        <v>9.57</v>
      </c>
      <c r="DF131" s="28">
        <v>289.25</v>
      </c>
      <c r="DG131" s="28">
        <v>3013.68</v>
      </c>
    </row>
    <row r="132" spans="2:111" s="31" customFormat="1" ht="14.5" x14ac:dyDescent="0.35">
      <c r="B132" s="32">
        <v>34</v>
      </c>
      <c r="C132" s="32" t="s">
        <v>187</v>
      </c>
      <c r="D132" s="32" t="s">
        <v>105</v>
      </c>
      <c r="E132" s="32" t="s">
        <v>1199</v>
      </c>
      <c r="F132" s="32" t="s">
        <v>1200</v>
      </c>
      <c r="G132" s="32" t="s">
        <v>508</v>
      </c>
      <c r="H132" s="32" t="s">
        <v>1201</v>
      </c>
      <c r="I132" s="32" t="s">
        <v>58</v>
      </c>
      <c r="J132" s="32" t="s">
        <v>1199</v>
      </c>
      <c r="K132" s="32" t="s">
        <v>59</v>
      </c>
      <c r="L132" s="37">
        <v>30183</v>
      </c>
      <c r="M132" s="32" t="s">
        <v>1196</v>
      </c>
      <c r="N132" s="32" t="s">
        <v>129</v>
      </c>
      <c r="O132" s="32" t="s">
        <v>60</v>
      </c>
      <c r="P132" s="32" t="s">
        <v>346</v>
      </c>
      <c r="Q132" s="32" t="s">
        <v>347</v>
      </c>
      <c r="R132" s="32" t="s">
        <v>783</v>
      </c>
      <c r="S132" s="32" t="s">
        <v>787</v>
      </c>
      <c r="T132" s="32" t="s">
        <v>96</v>
      </c>
      <c r="U132" s="32" t="s">
        <v>73</v>
      </c>
      <c r="V132" s="32" t="s">
        <v>1202</v>
      </c>
      <c r="W132" s="32" t="s">
        <v>891</v>
      </c>
      <c r="X132" s="32" t="s">
        <v>1203</v>
      </c>
      <c r="Y132" s="32" t="s">
        <v>65</v>
      </c>
      <c r="Z132" s="32" t="s">
        <v>1529</v>
      </c>
      <c r="AA132" s="32" t="s">
        <v>1563</v>
      </c>
      <c r="AB132" s="37">
        <v>45750</v>
      </c>
      <c r="AC132" s="50">
        <v>45915</v>
      </c>
      <c r="AD132" s="32" t="s">
        <v>1023</v>
      </c>
      <c r="AE132" s="36">
        <v>12</v>
      </c>
      <c r="AF132" s="32"/>
      <c r="AG132" s="32"/>
      <c r="AH132" s="32"/>
      <c r="AI132" s="32"/>
      <c r="AJ132" s="32"/>
      <c r="AK132" s="32">
        <v>3</v>
      </c>
      <c r="AL132" s="32"/>
      <c r="AM132" s="32"/>
      <c r="AN132" s="32"/>
      <c r="AO132" s="32"/>
      <c r="AP132" s="32"/>
      <c r="AQ132" s="32" t="s">
        <v>1784</v>
      </c>
      <c r="AR132" s="32" t="s">
        <v>1784</v>
      </c>
      <c r="AS132" s="38">
        <v>1750</v>
      </c>
      <c r="AT132" s="68">
        <v>113</v>
      </c>
      <c r="AU132" s="36">
        <v>700</v>
      </c>
      <c r="AV132" s="32">
        <v>113</v>
      </c>
      <c r="AW132" s="32"/>
      <c r="AX132" s="32"/>
      <c r="AY132" s="32"/>
      <c r="AZ132" s="32"/>
      <c r="BA132" s="32"/>
      <c r="BB132" s="32"/>
      <c r="BC132" s="32"/>
      <c r="BD132" s="32"/>
      <c r="BE132" s="32">
        <v>180</v>
      </c>
      <c r="BF132" s="32"/>
      <c r="BG132" s="32">
        <v>208</v>
      </c>
      <c r="BH132" s="32"/>
      <c r="BI132" s="32"/>
      <c r="BJ132" s="32"/>
      <c r="BK132" s="32"/>
      <c r="BL132" s="32"/>
      <c r="BM132" s="32"/>
      <c r="BN132" s="32"/>
      <c r="BO132" s="36"/>
      <c r="BP132" s="32"/>
      <c r="BQ132" s="32"/>
      <c r="BR132" s="32"/>
      <c r="BS132" s="36"/>
      <c r="BT132" s="32"/>
      <c r="BU132" s="32">
        <v>178.52</v>
      </c>
      <c r="BV132" s="32"/>
      <c r="BW132" s="32"/>
      <c r="BX132" s="32"/>
      <c r="BY132" s="39">
        <v>1379.52</v>
      </c>
      <c r="BZ132" s="32"/>
      <c r="CA132" s="32"/>
      <c r="CB132" s="32"/>
      <c r="CC132" s="36"/>
      <c r="CD132" s="32"/>
      <c r="CE132" s="36">
        <v>117.15</v>
      </c>
      <c r="CF132" s="32"/>
      <c r="CG132" s="36">
        <v>16.05</v>
      </c>
      <c r="CH132" s="32"/>
      <c r="CI132" s="32"/>
      <c r="CJ132" s="32"/>
      <c r="CK132" s="32"/>
      <c r="CL132" s="32"/>
      <c r="CM132" s="36"/>
      <c r="CN132" s="32"/>
      <c r="CO132" s="32"/>
      <c r="CP132" s="32"/>
      <c r="CQ132" s="32"/>
      <c r="CR132" s="36"/>
      <c r="CS132" s="32"/>
      <c r="CT132" s="32"/>
      <c r="CU132" s="32"/>
      <c r="CV132" s="32"/>
      <c r="CW132" s="32"/>
      <c r="CX132" s="32"/>
      <c r="CY132" s="39">
        <v>133.19999999999999</v>
      </c>
      <c r="CZ132" s="36">
        <v>79.08</v>
      </c>
      <c r="DA132" s="36">
        <v>26.36</v>
      </c>
      <c r="DB132" s="36">
        <v>4.0999999999999996</v>
      </c>
      <c r="DC132" s="36">
        <v>6.91</v>
      </c>
      <c r="DD132" s="32"/>
      <c r="DE132" s="36">
        <v>3.98</v>
      </c>
      <c r="DF132" s="39">
        <v>120.43</v>
      </c>
      <c r="DG132" s="39">
        <v>1246.32</v>
      </c>
    </row>
    <row r="133" spans="2:111" s="31" customFormat="1" ht="14.5" x14ac:dyDescent="0.35">
      <c r="B133" s="20">
        <v>126</v>
      </c>
      <c r="C133" s="20" t="s">
        <v>187</v>
      </c>
      <c r="D133" s="20" t="s">
        <v>105</v>
      </c>
      <c r="E133" s="20" t="s">
        <v>1233</v>
      </c>
      <c r="F133" s="20" t="s">
        <v>176</v>
      </c>
      <c r="G133" s="20" t="s">
        <v>1234</v>
      </c>
      <c r="H133" s="20" t="s">
        <v>1235</v>
      </c>
      <c r="I133" s="20" t="s">
        <v>58</v>
      </c>
      <c r="J133" s="20" t="s">
        <v>1233</v>
      </c>
      <c r="K133" s="20" t="s">
        <v>66</v>
      </c>
      <c r="L133" s="21">
        <v>29056</v>
      </c>
      <c r="M133" s="20" t="s">
        <v>1196</v>
      </c>
      <c r="N133" s="20" t="s">
        <v>129</v>
      </c>
      <c r="O133" s="20" t="s">
        <v>60</v>
      </c>
      <c r="P133" s="20" t="s">
        <v>346</v>
      </c>
      <c r="Q133" s="20" t="s">
        <v>347</v>
      </c>
      <c r="R133" s="20" t="s">
        <v>783</v>
      </c>
      <c r="S133" s="20" t="s">
        <v>787</v>
      </c>
      <c r="T133" s="20" t="s">
        <v>137</v>
      </c>
      <c r="U133" s="20" t="s">
        <v>64</v>
      </c>
      <c r="V133" s="20" t="s">
        <v>1236</v>
      </c>
      <c r="W133" s="20" t="s">
        <v>891</v>
      </c>
      <c r="X133" s="20" t="s">
        <v>1262</v>
      </c>
      <c r="Y133" s="20" t="s">
        <v>137</v>
      </c>
      <c r="Z133" s="20" t="s">
        <v>1529</v>
      </c>
      <c r="AA133" s="20" t="s">
        <v>1644</v>
      </c>
      <c r="AB133" s="21">
        <v>45748</v>
      </c>
      <c r="AC133" s="20"/>
      <c r="AD133" s="20"/>
      <c r="AE133" s="27">
        <v>30</v>
      </c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>
        <v>1</v>
      </c>
      <c r="AQ133" s="20" t="s">
        <v>1784</v>
      </c>
      <c r="AR133" s="20" t="s">
        <v>1784</v>
      </c>
      <c r="AS133" s="29">
        <v>1750</v>
      </c>
      <c r="AT133" s="63">
        <v>113</v>
      </c>
      <c r="AU133" s="27">
        <v>1750</v>
      </c>
      <c r="AV133" s="20">
        <v>113</v>
      </c>
      <c r="AW133" s="20"/>
      <c r="AX133" s="20"/>
      <c r="AY133" s="20"/>
      <c r="AZ133" s="20"/>
      <c r="BA133" s="20"/>
      <c r="BB133" s="20"/>
      <c r="BC133" s="20"/>
      <c r="BD133" s="20"/>
      <c r="BE133" s="20">
        <v>450</v>
      </c>
      <c r="BF133" s="20"/>
      <c r="BG133" s="20">
        <v>520</v>
      </c>
      <c r="BH133" s="20"/>
      <c r="BI133" s="20"/>
      <c r="BJ133" s="20"/>
      <c r="BK133" s="20"/>
      <c r="BL133" s="20"/>
      <c r="BM133" s="20"/>
      <c r="BN133" s="20">
        <v>124.2</v>
      </c>
      <c r="BO133" s="27"/>
      <c r="BP133" s="20"/>
      <c r="BQ133" s="20"/>
      <c r="BR133" s="20"/>
      <c r="BS133" s="27">
        <v>48.03</v>
      </c>
      <c r="BT133" s="20"/>
      <c r="BU133" s="20"/>
      <c r="BV133" s="20"/>
      <c r="BW133" s="20"/>
      <c r="BX133" s="20"/>
      <c r="BY133" s="28">
        <v>3005.23</v>
      </c>
      <c r="BZ133" s="20"/>
      <c r="CA133" s="20"/>
      <c r="CB133" s="20"/>
      <c r="CC133" s="27"/>
      <c r="CD133" s="20"/>
      <c r="CE133" s="27">
        <v>243.72</v>
      </c>
      <c r="CF133" s="20">
        <v>37.78</v>
      </c>
      <c r="CG133" s="27">
        <v>33.39</v>
      </c>
      <c r="CH133" s="20"/>
      <c r="CI133" s="20"/>
      <c r="CJ133" s="20"/>
      <c r="CK133" s="20"/>
      <c r="CL133" s="20"/>
      <c r="CM133" s="27"/>
      <c r="CN133" s="20"/>
      <c r="CO133" s="20"/>
      <c r="CP133" s="20"/>
      <c r="CQ133" s="20"/>
      <c r="CR133" s="27">
        <v>48.03</v>
      </c>
      <c r="CS133" s="20"/>
      <c r="CT133" s="20"/>
      <c r="CU133" s="20"/>
      <c r="CV133" s="20"/>
      <c r="CW133" s="20"/>
      <c r="CX133" s="20"/>
      <c r="CY133" s="28">
        <v>362.92</v>
      </c>
      <c r="CZ133" s="27">
        <v>164.51</v>
      </c>
      <c r="DA133" s="27">
        <v>54.84</v>
      </c>
      <c r="DB133" s="27">
        <v>8.5299999999999994</v>
      </c>
      <c r="DC133" s="27">
        <v>14.38</v>
      </c>
      <c r="DD133" s="20"/>
      <c r="DE133" s="27">
        <v>8.2899999999999991</v>
      </c>
      <c r="DF133" s="28">
        <v>250.55</v>
      </c>
      <c r="DG133" s="28">
        <v>2642.31</v>
      </c>
    </row>
    <row r="134" spans="2:111" s="31" customFormat="1" ht="14.5" x14ac:dyDescent="0.35">
      <c r="B134" s="32">
        <v>148</v>
      </c>
      <c r="C134" s="32" t="s">
        <v>187</v>
      </c>
      <c r="D134" s="32" t="s">
        <v>105</v>
      </c>
      <c r="E134" s="32" t="s">
        <v>1243</v>
      </c>
      <c r="F134" s="32" t="s">
        <v>108</v>
      </c>
      <c r="G134" s="32" t="s">
        <v>1244</v>
      </c>
      <c r="H134" s="32" t="s">
        <v>463</v>
      </c>
      <c r="I134" s="32" t="s">
        <v>58</v>
      </c>
      <c r="J134" s="32" t="s">
        <v>1243</v>
      </c>
      <c r="K134" s="32" t="s">
        <v>59</v>
      </c>
      <c r="L134" s="37">
        <v>30558</v>
      </c>
      <c r="M134" s="32" t="s">
        <v>1196</v>
      </c>
      <c r="N134" s="32" t="s">
        <v>129</v>
      </c>
      <c r="O134" s="32" t="s">
        <v>60</v>
      </c>
      <c r="P134" s="32" t="s">
        <v>346</v>
      </c>
      <c r="Q134" s="32" t="s">
        <v>347</v>
      </c>
      <c r="R134" s="32" t="s">
        <v>783</v>
      </c>
      <c r="S134" s="32" t="s">
        <v>787</v>
      </c>
      <c r="T134" s="32" t="s">
        <v>96</v>
      </c>
      <c r="U134" s="32" t="s">
        <v>64</v>
      </c>
      <c r="V134" s="32" t="s">
        <v>1245</v>
      </c>
      <c r="W134" s="32" t="s">
        <v>893</v>
      </c>
      <c r="X134" s="32" t="s">
        <v>1246</v>
      </c>
      <c r="Y134" s="32" t="s">
        <v>137</v>
      </c>
      <c r="Z134" s="32" t="s">
        <v>1529</v>
      </c>
      <c r="AA134" s="32" t="s">
        <v>1658</v>
      </c>
      <c r="AB134" s="37">
        <v>45763</v>
      </c>
      <c r="AC134" s="50">
        <v>45916</v>
      </c>
      <c r="AD134" s="32" t="s">
        <v>1023</v>
      </c>
      <c r="AE134" s="36">
        <v>16</v>
      </c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 t="s">
        <v>1784</v>
      </c>
      <c r="AR134" s="32" t="s">
        <v>1784</v>
      </c>
      <c r="AS134" s="38">
        <v>1750</v>
      </c>
      <c r="AT134" s="68"/>
      <c r="AU134" s="36">
        <v>933.33</v>
      </c>
      <c r="AV134" s="32"/>
      <c r="AW134" s="32"/>
      <c r="AX134" s="32"/>
      <c r="AY134" s="32"/>
      <c r="AZ134" s="32"/>
      <c r="BA134" s="32"/>
      <c r="BB134" s="32"/>
      <c r="BC134" s="32"/>
      <c r="BD134" s="32"/>
      <c r="BE134" s="32">
        <v>240</v>
      </c>
      <c r="BF134" s="32"/>
      <c r="BG134" s="32">
        <v>277.33</v>
      </c>
      <c r="BH134" s="32"/>
      <c r="BI134" s="32"/>
      <c r="BJ134" s="32"/>
      <c r="BK134" s="32"/>
      <c r="BL134" s="32"/>
      <c r="BM134" s="32"/>
      <c r="BN134" s="32"/>
      <c r="BO134" s="36"/>
      <c r="BP134" s="32"/>
      <c r="BQ134" s="32"/>
      <c r="BR134" s="32"/>
      <c r="BS134" s="36"/>
      <c r="BT134" s="32"/>
      <c r="BU134" s="32">
        <v>166.67</v>
      </c>
      <c r="BV134" s="32"/>
      <c r="BW134" s="32"/>
      <c r="BX134" s="32"/>
      <c r="BY134" s="39">
        <v>1617.33</v>
      </c>
      <c r="BZ134" s="32"/>
      <c r="CA134" s="32"/>
      <c r="CB134" s="32"/>
      <c r="CC134" s="36"/>
      <c r="CD134" s="32"/>
      <c r="CE134" s="36">
        <v>134</v>
      </c>
      <c r="CF134" s="32">
        <v>22.65</v>
      </c>
      <c r="CG134" s="36">
        <v>18.36</v>
      </c>
      <c r="CH134" s="32"/>
      <c r="CI134" s="32"/>
      <c r="CJ134" s="32"/>
      <c r="CK134" s="32"/>
      <c r="CL134" s="32"/>
      <c r="CM134" s="36"/>
      <c r="CN134" s="32"/>
      <c r="CO134" s="32"/>
      <c r="CP134" s="32"/>
      <c r="CQ134" s="32"/>
      <c r="CR134" s="36"/>
      <c r="CS134" s="32"/>
      <c r="CT134" s="32"/>
      <c r="CU134" s="32"/>
      <c r="CV134" s="32"/>
      <c r="CW134" s="32"/>
      <c r="CX134" s="32"/>
      <c r="CY134" s="39">
        <v>175.01</v>
      </c>
      <c r="CZ134" s="36">
        <v>90.45</v>
      </c>
      <c r="DA134" s="36">
        <v>30.15</v>
      </c>
      <c r="DB134" s="36">
        <v>4.6900000000000004</v>
      </c>
      <c r="DC134" s="36">
        <v>7.91</v>
      </c>
      <c r="DD134" s="32"/>
      <c r="DE134" s="36">
        <v>4.5599999999999996</v>
      </c>
      <c r="DF134" s="39">
        <v>137.76</v>
      </c>
      <c r="DG134" s="39">
        <v>1442.32</v>
      </c>
    </row>
    <row r="135" spans="2:111" s="31" customFormat="1" ht="14.5" x14ac:dyDescent="0.35">
      <c r="B135" s="20">
        <v>166</v>
      </c>
      <c r="C135" s="20" t="s">
        <v>187</v>
      </c>
      <c r="D135" s="20" t="s">
        <v>105</v>
      </c>
      <c r="E135" s="20" t="s">
        <v>1489</v>
      </c>
      <c r="F135" s="20" t="s">
        <v>698</v>
      </c>
      <c r="G135" s="20" t="s">
        <v>119</v>
      </c>
      <c r="H135" s="20" t="s">
        <v>1490</v>
      </c>
      <c r="I135" s="20" t="s">
        <v>58</v>
      </c>
      <c r="J135" s="20" t="s">
        <v>1489</v>
      </c>
      <c r="K135" s="20" t="s">
        <v>59</v>
      </c>
      <c r="L135" s="21">
        <v>29111</v>
      </c>
      <c r="M135" s="20" t="s">
        <v>1196</v>
      </c>
      <c r="N135" s="20" t="s">
        <v>129</v>
      </c>
      <c r="O135" s="20" t="s">
        <v>60</v>
      </c>
      <c r="P135" s="20" t="s">
        <v>346</v>
      </c>
      <c r="Q135" s="20" t="s">
        <v>347</v>
      </c>
      <c r="R135" s="20" t="s">
        <v>783</v>
      </c>
      <c r="S135" s="20" t="s">
        <v>787</v>
      </c>
      <c r="T135" s="20" t="s">
        <v>65</v>
      </c>
      <c r="U135" s="20" t="s">
        <v>73</v>
      </c>
      <c r="V135" s="20" t="s">
        <v>1525</v>
      </c>
      <c r="W135" s="20" t="s">
        <v>898</v>
      </c>
      <c r="X135" s="20" t="s">
        <v>1491</v>
      </c>
      <c r="Y135" s="20"/>
      <c r="Z135" s="20"/>
      <c r="AA135" s="20"/>
      <c r="AB135" s="21">
        <v>45880</v>
      </c>
      <c r="AC135" s="20"/>
      <c r="AD135" s="20"/>
      <c r="AE135" s="27">
        <v>30</v>
      </c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>
        <v>1</v>
      </c>
      <c r="AQ135" s="20" t="s">
        <v>1784</v>
      </c>
      <c r="AR135" s="20" t="s">
        <v>1784</v>
      </c>
      <c r="AS135" s="29">
        <v>1750</v>
      </c>
      <c r="AT135" s="63">
        <v>113</v>
      </c>
      <c r="AU135" s="27">
        <v>1750</v>
      </c>
      <c r="AV135" s="20">
        <v>113</v>
      </c>
      <c r="AW135" s="20"/>
      <c r="AX135" s="20"/>
      <c r="AY135" s="20"/>
      <c r="AZ135" s="20"/>
      <c r="BA135" s="20"/>
      <c r="BB135" s="20"/>
      <c r="BC135" s="20"/>
      <c r="BD135" s="20"/>
      <c r="BE135" s="20">
        <v>450</v>
      </c>
      <c r="BF135" s="20"/>
      <c r="BG135" s="20">
        <v>520</v>
      </c>
      <c r="BH135" s="20"/>
      <c r="BI135" s="20"/>
      <c r="BJ135" s="20"/>
      <c r="BK135" s="20"/>
      <c r="BL135" s="20"/>
      <c r="BM135" s="20"/>
      <c r="BN135" s="20">
        <v>124.2</v>
      </c>
      <c r="BO135" s="27"/>
      <c r="BP135" s="20"/>
      <c r="BQ135" s="20"/>
      <c r="BR135" s="20"/>
      <c r="BS135" s="27">
        <v>96.06</v>
      </c>
      <c r="BT135" s="20">
        <v>100</v>
      </c>
      <c r="BU135" s="20">
        <v>750</v>
      </c>
      <c r="BV135" s="20"/>
      <c r="BW135" s="20"/>
      <c r="BX135" s="20"/>
      <c r="BY135" s="28">
        <v>3903.26</v>
      </c>
      <c r="BZ135" s="20"/>
      <c r="CA135" s="20"/>
      <c r="CB135" s="20"/>
      <c r="CC135" s="27"/>
      <c r="CD135" s="20"/>
      <c r="CE135" s="27">
        <v>318.72000000000003</v>
      </c>
      <c r="CF135" s="20">
        <v>51</v>
      </c>
      <c r="CG135" s="27">
        <v>43.66</v>
      </c>
      <c r="CH135" s="20"/>
      <c r="CI135" s="20"/>
      <c r="CJ135" s="20"/>
      <c r="CK135" s="20"/>
      <c r="CL135" s="20"/>
      <c r="CM135" s="27"/>
      <c r="CN135" s="20"/>
      <c r="CO135" s="20"/>
      <c r="CP135" s="20"/>
      <c r="CQ135" s="20"/>
      <c r="CR135" s="27">
        <v>96.06</v>
      </c>
      <c r="CS135" s="20"/>
      <c r="CT135" s="20"/>
      <c r="CU135" s="20"/>
      <c r="CV135" s="20">
        <v>100</v>
      </c>
      <c r="CW135" s="20"/>
      <c r="CX135" s="20"/>
      <c r="CY135" s="28">
        <v>609.44000000000005</v>
      </c>
      <c r="CZ135" s="27">
        <v>215.14</v>
      </c>
      <c r="DA135" s="27">
        <v>71.709999999999994</v>
      </c>
      <c r="DB135" s="27">
        <v>11.16</v>
      </c>
      <c r="DC135" s="27">
        <v>18.8</v>
      </c>
      <c r="DD135" s="20"/>
      <c r="DE135" s="27">
        <v>10.84</v>
      </c>
      <c r="DF135" s="28">
        <v>327.64999999999998</v>
      </c>
      <c r="DG135" s="28">
        <v>3293.82</v>
      </c>
    </row>
    <row r="136" spans="2:111" s="31" customFormat="1" ht="14.5" x14ac:dyDescent="0.35">
      <c r="B136" s="20">
        <v>130</v>
      </c>
      <c r="C136" s="20" t="s">
        <v>187</v>
      </c>
      <c r="D136" s="20" t="s">
        <v>105</v>
      </c>
      <c r="E136" s="20" t="s">
        <v>1755</v>
      </c>
      <c r="F136" s="20" t="s">
        <v>1756</v>
      </c>
      <c r="G136" s="20" t="s">
        <v>1757</v>
      </c>
      <c r="H136" s="20" t="s">
        <v>1758</v>
      </c>
      <c r="I136" s="20" t="s">
        <v>58</v>
      </c>
      <c r="J136" s="20" t="s">
        <v>1755</v>
      </c>
      <c r="K136" s="20" t="s">
        <v>59</v>
      </c>
      <c r="L136" s="21">
        <v>33917</v>
      </c>
      <c r="M136" s="20" t="s">
        <v>1759</v>
      </c>
      <c r="N136" s="20" t="s">
        <v>129</v>
      </c>
      <c r="O136" s="20" t="s">
        <v>1098</v>
      </c>
      <c r="P136" s="20" t="s">
        <v>61</v>
      </c>
      <c r="Q136" s="20" t="s">
        <v>62</v>
      </c>
      <c r="R136" s="20" t="s">
        <v>783</v>
      </c>
      <c r="S136" s="20" t="s">
        <v>787</v>
      </c>
      <c r="T136" s="20" t="s">
        <v>63</v>
      </c>
      <c r="U136" s="20" t="s">
        <v>64</v>
      </c>
      <c r="V136" s="20" t="s">
        <v>1760</v>
      </c>
      <c r="W136" s="20" t="s">
        <v>896</v>
      </c>
      <c r="X136" s="20" t="s">
        <v>1761</v>
      </c>
      <c r="Y136" s="20"/>
      <c r="Z136" s="20"/>
      <c r="AA136" s="20"/>
      <c r="AB136" s="21">
        <v>45901</v>
      </c>
      <c r="AC136" s="20"/>
      <c r="AD136" s="20"/>
      <c r="AE136" s="27">
        <v>30</v>
      </c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 t="s">
        <v>1784</v>
      </c>
      <c r="AR136" s="20" t="s">
        <v>1784</v>
      </c>
      <c r="AS136" s="29">
        <v>5880</v>
      </c>
      <c r="AT136" s="63"/>
      <c r="AU136" s="27">
        <v>5880</v>
      </c>
      <c r="AV136" s="20"/>
      <c r="AW136" s="20"/>
      <c r="AX136" s="20"/>
      <c r="AY136" s="20"/>
      <c r="AZ136" s="20"/>
      <c r="BA136" s="20"/>
      <c r="BB136" s="20"/>
      <c r="BC136" s="20"/>
      <c r="BD136" s="20"/>
      <c r="BE136" s="20">
        <v>390</v>
      </c>
      <c r="BF136" s="20"/>
      <c r="BG136" s="20">
        <v>520</v>
      </c>
      <c r="BH136" s="20"/>
      <c r="BI136" s="20"/>
      <c r="BJ136" s="20"/>
      <c r="BK136" s="20"/>
      <c r="BL136" s="20"/>
      <c r="BM136" s="20"/>
      <c r="BN136" s="20"/>
      <c r="BO136" s="27"/>
      <c r="BP136" s="20"/>
      <c r="BQ136" s="20"/>
      <c r="BR136" s="20"/>
      <c r="BS136" s="27">
        <v>96.06</v>
      </c>
      <c r="BT136" s="20"/>
      <c r="BU136" s="20">
        <v>2520</v>
      </c>
      <c r="BV136" s="20"/>
      <c r="BW136" s="20"/>
      <c r="BX136" s="20"/>
      <c r="BY136" s="28">
        <v>9406.06</v>
      </c>
      <c r="BZ136" s="20"/>
      <c r="CA136" s="20"/>
      <c r="CB136" s="20"/>
      <c r="CC136" s="27"/>
      <c r="CD136" s="20"/>
      <c r="CE136" s="27">
        <v>879</v>
      </c>
      <c r="CF136" s="20"/>
      <c r="CG136" s="27">
        <v>120.42</v>
      </c>
      <c r="CH136" s="20"/>
      <c r="CI136" s="20">
        <v>39.1</v>
      </c>
      <c r="CJ136" s="20"/>
      <c r="CK136" s="20"/>
      <c r="CL136" s="20"/>
      <c r="CM136" s="27"/>
      <c r="CN136" s="20"/>
      <c r="CO136" s="20"/>
      <c r="CP136" s="20"/>
      <c r="CQ136" s="20"/>
      <c r="CR136" s="27">
        <v>96.06</v>
      </c>
      <c r="CS136" s="20"/>
      <c r="CT136" s="20"/>
      <c r="CU136" s="20"/>
      <c r="CV136" s="20"/>
      <c r="CW136" s="20"/>
      <c r="CX136" s="20"/>
      <c r="CY136" s="28">
        <v>1134.58</v>
      </c>
      <c r="CZ136" s="27">
        <v>593.33000000000004</v>
      </c>
      <c r="DA136" s="27">
        <v>197.78</v>
      </c>
      <c r="DB136" s="27">
        <v>30.77</v>
      </c>
      <c r="DC136" s="27">
        <v>51.86</v>
      </c>
      <c r="DD136" s="20"/>
      <c r="DE136" s="27">
        <v>29.89</v>
      </c>
      <c r="DF136" s="28">
        <v>903.63</v>
      </c>
      <c r="DG136" s="28">
        <v>8271.48</v>
      </c>
    </row>
    <row r="137" spans="2:111" s="31" customFormat="1" ht="14.5" x14ac:dyDescent="0.35">
      <c r="B137" s="20">
        <v>131</v>
      </c>
      <c r="C137" s="20" t="s">
        <v>187</v>
      </c>
      <c r="D137" s="20" t="s">
        <v>105</v>
      </c>
      <c r="E137" s="20" t="s">
        <v>274</v>
      </c>
      <c r="F137" s="20" t="s">
        <v>653</v>
      </c>
      <c r="G137" s="20" t="s">
        <v>654</v>
      </c>
      <c r="H137" s="20" t="s">
        <v>655</v>
      </c>
      <c r="I137" s="20" t="s">
        <v>58</v>
      </c>
      <c r="J137" s="20" t="s">
        <v>274</v>
      </c>
      <c r="K137" s="20" t="s">
        <v>59</v>
      </c>
      <c r="L137" s="21">
        <v>34285</v>
      </c>
      <c r="M137" s="20" t="s">
        <v>401</v>
      </c>
      <c r="N137" s="20" t="s">
        <v>327</v>
      </c>
      <c r="O137" s="20" t="s">
        <v>67</v>
      </c>
      <c r="P137" s="20" t="s">
        <v>110</v>
      </c>
      <c r="Q137" s="20" t="s">
        <v>111</v>
      </c>
      <c r="R137" s="20" t="s">
        <v>779</v>
      </c>
      <c r="S137" s="20" t="s">
        <v>782</v>
      </c>
      <c r="T137" s="20" t="s">
        <v>63</v>
      </c>
      <c r="U137" s="20" t="s">
        <v>64</v>
      </c>
      <c r="V137" s="20" t="s">
        <v>855</v>
      </c>
      <c r="W137" s="20" t="s">
        <v>896</v>
      </c>
      <c r="X137" s="20" t="s">
        <v>979</v>
      </c>
      <c r="Y137" s="20" t="s">
        <v>63</v>
      </c>
      <c r="Z137" s="20" t="s">
        <v>1529</v>
      </c>
      <c r="AA137" s="20" t="s">
        <v>1645</v>
      </c>
      <c r="AB137" s="21">
        <v>44739</v>
      </c>
      <c r="AC137" s="20"/>
      <c r="AD137" s="20"/>
      <c r="AE137" s="27">
        <v>30</v>
      </c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 t="s">
        <v>1784</v>
      </c>
      <c r="AR137" s="20" t="s">
        <v>1784</v>
      </c>
      <c r="AS137" s="29">
        <v>8899</v>
      </c>
      <c r="AT137" s="63"/>
      <c r="AU137" s="27">
        <v>8899</v>
      </c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7">
        <v>265</v>
      </c>
      <c r="BP137" s="20"/>
      <c r="BQ137" s="20"/>
      <c r="BR137" s="20"/>
      <c r="BS137" s="27">
        <v>48.03</v>
      </c>
      <c r="BT137" s="20"/>
      <c r="BU137" s="20"/>
      <c r="BV137" s="20"/>
      <c r="BW137" s="20"/>
      <c r="BX137" s="20"/>
      <c r="BY137" s="28">
        <v>9212.0300000000007</v>
      </c>
      <c r="BZ137" s="20"/>
      <c r="CA137" s="20"/>
      <c r="CB137" s="20"/>
      <c r="CC137" s="27">
        <v>984.59</v>
      </c>
      <c r="CD137" s="20"/>
      <c r="CE137" s="27">
        <v>916.4</v>
      </c>
      <c r="CF137" s="20"/>
      <c r="CG137" s="27">
        <v>125.55</v>
      </c>
      <c r="CH137" s="20"/>
      <c r="CI137" s="20"/>
      <c r="CJ137" s="20"/>
      <c r="CK137" s="20"/>
      <c r="CL137" s="20"/>
      <c r="CM137" s="27">
        <v>265</v>
      </c>
      <c r="CN137" s="20"/>
      <c r="CO137" s="20"/>
      <c r="CP137" s="20"/>
      <c r="CQ137" s="20"/>
      <c r="CR137" s="27">
        <v>48.03</v>
      </c>
      <c r="CS137" s="20"/>
      <c r="CT137" s="20"/>
      <c r="CU137" s="20"/>
      <c r="CV137" s="20"/>
      <c r="CW137" s="20"/>
      <c r="CX137" s="20"/>
      <c r="CY137" s="28">
        <v>2339.5700000000002</v>
      </c>
      <c r="CZ137" s="27">
        <v>618.57000000000005</v>
      </c>
      <c r="DA137" s="27">
        <v>206.19</v>
      </c>
      <c r="DB137" s="27">
        <v>32.07</v>
      </c>
      <c r="DC137" s="27">
        <v>54.07</v>
      </c>
      <c r="DD137" s="20">
        <v>68.73</v>
      </c>
      <c r="DE137" s="27">
        <v>31.16</v>
      </c>
      <c r="DF137" s="28">
        <v>1010.79</v>
      </c>
      <c r="DG137" s="28">
        <v>6872.46</v>
      </c>
    </row>
    <row r="138" spans="2:111" s="31" customFormat="1" ht="14.5" x14ac:dyDescent="0.35">
      <c r="B138" s="20">
        <v>180</v>
      </c>
      <c r="C138" s="20" t="s">
        <v>187</v>
      </c>
      <c r="D138" s="20" t="s">
        <v>105</v>
      </c>
      <c r="E138" s="20" t="s">
        <v>1354</v>
      </c>
      <c r="F138" s="20" t="s">
        <v>1355</v>
      </c>
      <c r="G138" s="20" t="s">
        <v>1356</v>
      </c>
      <c r="H138" s="20" t="s">
        <v>1357</v>
      </c>
      <c r="I138" s="20" t="s">
        <v>58</v>
      </c>
      <c r="J138" s="20" t="s">
        <v>1354</v>
      </c>
      <c r="K138" s="20" t="s">
        <v>59</v>
      </c>
      <c r="L138" s="21">
        <v>32721</v>
      </c>
      <c r="M138" s="20" t="s">
        <v>1196</v>
      </c>
      <c r="N138" s="20" t="s">
        <v>129</v>
      </c>
      <c r="O138" s="20" t="s">
        <v>60</v>
      </c>
      <c r="P138" s="20" t="s">
        <v>346</v>
      </c>
      <c r="Q138" s="20" t="s">
        <v>347</v>
      </c>
      <c r="R138" s="20" t="s">
        <v>783</v>
      </c>
      <c r="S138" s="20" t="s">
        <v>787</v>
      </c>
      <c r="T138" s="20" t="s">
        <v>63</v>
      </c>
      <c r="U138" s="20" t="s">
        <v>64</v>
      </c>
      <c r="V138" s="20" t="s">
        <v>1358</v>
      </c>
      <c r="W138" s="20" t="s">
        <v>893</v>
      </c>
      <c r="X138" s="20" t="s">
        <v>1359</v>
      </c>
      <c r="Y138" s="20"/>
      <c r="Z138" s="20"/>
      <c r="AA138" s="20"/>
      <c r="AB138" s="21">
        <v>45826</v>
      </c>
      <c r="AC138" s="20"/>
      <c r="AD138" s="20"/>
      <c r="AE138" s="27">
        <v>30</v>
      </c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 t="s">
        <v>1784</v>
      </c>
      <c r="AR138" s="20" t="s">
        <v>1784</v>
      </c>
      <c r="AS138" s="29">
        <v>1750</v>
      </c>
      <c r="AT138" s="63">
        <v>113</v>
      </c>
      <c r="AU138" s="27">
        <v>1750</v>
      </c>
      <c r="AV138" s="20">
        <v>113</v>
      </c>
      <c r="AW138" s="20"/>
      <c r="AX138" s="20"/>
      <c r="AY138" s="20"/>
      <c r="AZ138" s="20"/>
      <c r="BA138" s="20"/>
      <c r="BB138" s="20"/>
      <c r="BC138" s="20"/>
      <c r="BD138" s="20"/>
      <c r="BE138" s="20">
        <v>390</v>
      </c>
      <c r="BF138" s="20"/>
      <c r="BG138" s="20">
        <v>520</v>
      </c>
      <c r="BH138" s="20"/>
      <c r="BI138" s="20"/>
      <c r="BJ138" s="20"/>
      <c r="BK138" s="20"/>
      <c r="BL138" s="20"/>
      <c r="BM138" s="20"/>
      <c r="BN138" s="20"/>
      <c r="BO138" s="27"/>
      <c r="BP138" s="20"/>
      <c r="BQ138" s="20"/>
      <c r="BR138" s="20"/>
      <c r="BS138" s="27">
        <v>48.03</v>
      </c>
      <c r="BT138" s="20"/>
      <c r="BU138" s="20"/>
      <c r="BV138" s="20"/>
      <c r="BW138" s="20"/>
      <c r="BX138" s="20"/>
      <c r="BY138" s="28">
        <v>2821.03</v>
      </c>
      <c r="BZ138" s="20"/>
      <c r="CA138" s="20"/>
      <c r="CB138" s="20"/>
      <c r="CC138" s="27"/>
      <c r="CD138" s="20"/>
      <c r="CE138" s="27">
        <v>225.3</v>
      </c>
      <c r="CF138" s="20"/>
      <c r="CG138" s="27">
        <v>30.87</v>
      </c>
      <c r="CH138" s="20"/>
      <c r="CI138" s="20"/>
      <c r="CJ138" s="20"/>
      <c r="CK138" s="20"/>
      <c r="CL138" s="20"/>
      <c r="CM138" s="27"/>
      <c r="CN138" s="20"/>
      <c r="CO138" s="20"/>
      <c r="CP138" s="20"/>
      <c r="CQ138" s="20"/>
      <c r="CR138" s="27">
        <v>48.03</v>
      </c>
      <c r="CS138" s="20">
        <v>9.8000000000000007</v>
      </c>
      <c r="CT138" s="20"/>
      <c r="CU138" s="20"/>
      <c r="CV138" s="20"/>
      <c r="CW138" s="20"/>
      <c r="CX138" s="20"/>
      <c r="CY138" s="28">
        <v>314</v>
      </c>
      <c r="CZ138" s="27">
        <v>152.08000000000001</v>
      </c>
      <c r="DA138" s="27">
        <v>50.69</v>
      </c>
      <c r="DB138" s="27">
        <v>7.89</v>
      </c>
      <c r="DC138" s="27">
        <v>13.29</v>
      </c>
      <c r="DD138" s="20"/>
      <c r="DE138" s="27">
        <v>7.66</v>
      </c>
      <c r="DF138" s="28">
        <v>231.61</v>
      </c>
      <c r="DG138" s="28">
        <v>2507.0300000000002</v>
      </c>
    </row>
    <row r="139" spans="2:111" s="31" customFormat="1" ht="14.5" x14ac:dyDescent="0.35">
      <c r="B139" s="20">
        <v>199</v>
      </c>
      <c r="C139" s="20" t="s">
        <v>187</v>
      </c>
      <c r="D139" s="20" t="s">
        <v>105</v>
      </c>
      <c r="E139" s="20" t="s">
        <v>1257</v>
      </c>
      <c r="F139" s="20" t="s">
        <v>1258</v>
      </c>
      <c r="G139" s="20" t="s">
        <v>592</v>
      </c>
      <c r="H139" s="20" t="s">
        <v>1259</v>
      </c>
      <c r="I139" s="20" t="s">
        <v>58</v>
      </c>
      <c r="J139" s="20" t="s">
        <v>1257</v>
      </c>
      <c r="K139" s="20" t="s">
        <v>59</v>
      </c>
      <c r="L139" s="21">
        <v>32657</v>
      </c>
      <c r="M139" s="20" t="s">
        <v>1196</v>
      </c>
      <c r="N139" s="20" t="s">
        <v>129</v>
      </c>
      <c r="O139" s="20" t="s">
        <v>60</v>
      </c>
      <c r="P139" s="20" t="s">
        <v>346</v>
      </c>
      <c r="Q139" s="20" t="s">
        <v>347</v>
      </c>
      <c r="R139" s="20" t="s">
        <v>783</v>
      </c>
      <c r="S139" s="20" t="s">
        <v>787</v>
      </c>
      <c r="T139" s="20" t="s">
        <v>137</v>
      </c>
      <c r="U139" s="20" t="s">
        <v>64</v>
      </c>
      <c r="V139" s="20" t="s">
        <v>1260</v>
      </c>
      <c r="W139" s="20" t="s">
        <v>893</v>
      </c>
      <c r="X139" s="20" t="s">
        <v>1261</v>
      </c>
      <c r="Y139" s="20" t="s">
        <v>137</v>
      </c>
      <c r="Z139" s="20" t="s">
        <v>1529</v>
      </c>
      <c r="AA139" s="20" t="s">
        <v>1700</v>
      </c>
      <c r="AB139" s="21">
        <v>45775</v>
      </c>
      <c r="AC139" s="20"/>
      <c r="AD139" s="20"/>
      <c r="AE139" s="27">
        <v>30</v>
      </c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 t="s">
        <v>1784</v>
      </c>
      <c r="AR139" s="20" t="s">
        <v>1784</v>
      </c>
      <c r="AS139" s="29">
        <v>1750</v>
      </c>
      <c r="AT139" s="63">
        <v>113</v>
      </c>
      <c r="AU139" s="27">
        <v>1750</v>
      </c>
      <c r="AV139" s="20">
        <v>113</v>
      </c>
      <c r="AW139" s="20"/>
      <c r="AX139" s="20"/>
      <c r="AY139" s="20"/>
      <c r="AZ139" s="20"/>
      <c r="BA139" s="20"/>
      <c r="BB139" s="20"/>
      <c r="BC139" s="20"/>
      <c r="BD139" s="20"/>
      <c r="BE139" s="20">
        <v>450</v>
      </c>
      <c r="BF139" s="20"/>
      <c r="BG139" s="20">
        <v>520</v>
      </c>
      <c r="BH139" s="20"/>
      <c r="BI139" s="20"/>
      <c r="BJ139" s="20"/>
      <c r="BK139" s="20"/>
      <c r="BL139" s="20"/>
      <c r="BM139" s="20"/>
      <c r="BN139" s="20"/>
      <c r="BO139" s="27"/>
      <c r="BP139" s="20"/>
      <c r="BQ139" s="20"/>
      <c r="BR139" s="20"/>
      <c r="BS139" s="27">
        <v>48.03</v>
      </c>
      <c r="BT139" s="20"/>
      <c r="BU139" s="20"/>
      <c r="BV139" s="20"/>
      <c r="BW139" s="20"/>
      <c r="BX139" s="20"/>
      <c r="BY139" s="28">
        <v>2881.03</v>
      </c>
      <c r="BZ139" s="20"/>
      <c r="CA139" s="20"/>
      <c r="CB139" s="20"/>
      <c r="CC139" s="27"/>
      <c r="CD139" s="20"/>
      <c r="CE139" s="27">
        <v>231.3</v>
      </c>
      <c r="CF139" s="20"/>
      <c r="CG139" s="27">
        <v>31.69</v>
      </c>
      <c r="CH139" s="20"/>
      <c r="CI139" s="20"/>
      <c r="CJ139" s="20"/>
      <c r="CK139" s="20"/>
      <c r="CL139" s="20"/>
      <c r="CM139" s="27"/>
      <c r="CN139" s="20"/>
      <c r="CO139" s="20"/>
      <c r="CP139" s="20"/>
      <c r="CQ139" s="20"/>
      <c r="CR139" s="27">
        <v>48.03</v>
      </c>
      <c r="CS139" s="20"/>
      <c r="CT139" s="20"/>
      <c r="CU139" s="20"/>
      <c r="CV139" s="20"/>
      <c r="CW139" s="20"/>
      <c r="CX139" s="20"/>
      <c r="CY139" s="28">
        <v>311.02</v>
      </c>
      <c r="CZ139" s="27">
        <v>156.13</v>
      </c>
      <c r="DA139" s="27">
        <v>52.04</v>
      </c>
      <c r="DB139" s="27">
        <v>8.1</v>
      </c>
      <c r="DC139" s="27">
        <v>13.65</v>
      </c>
      <c r="DD139" s="20"/>
      <c r="DE139" s="27">
        <v>7.86</v>
      </c>
      <c r="DF139" s="28">
        <v>237.78</v>
      </c>
      <c r="DG139" s="28">
        <v>2570.0100000000002</v>
      </c>
    </row>
    <row r="140" spans="2:111" s="31" customFormat="1" ht="14.5" x14ac:dyDescent="0.35">
      <c r="B140" s="20">
        <v>134</v>
      </c>
      <c r="C140" s="20" t="s">
        <v>187</v>
      </c>
      <c r="D140" s="20" t="s">
        <v>105</v>
      </c>
      <c r="E140" s="20" t="s">
        <v>276</v>
      </c>
      <c r="F140" s="20" t="s">
        <v>658</v>
      </c>
      <c r="G140" s="20" t="s">
        <v>659</v>
      </c>
      <c r="H140" s="20" t="s">
        <v>660</v>
      </c>
      <c r="I140" s="20" t="s">
        <v>58</v>
      </c>
      <c r="J140" s="20" t="s">
        <v>276</v>
      </c>
      <c r="K140" s="20" t="s">
        <v>66</v>
      </c>
      <c r="L140" s="21">
        <v>36421</v>
      </c>
      <c r="M140" s="20" t="s">
        <v>1161</v>
      </c>
      <c r="N140" s="20" t="s">
        <v>132</v>
      </c>
      <c r="O140" s="20" t="s">
        <v>67</v>
      </c>
      <c r="P140" s="20" t="s">
        <v>1546</v>
      </c>
      <c r="Q140" s="20" t="s">
        <v>1547</v>
      </c>
      <c r="R140" s="20" t="s">
        <v>783</v>
      </c>
      <c r="S140" s="20" t="s">
        <v>787</v>
      </c>
      <c r="T140" s="20" t="s">
        <v>65</v>
      </c>
      <c r="U140" s="20" t="s">
        <v>73</v>
      </c>
      <c r="V140" s="20" t="s">
        <v>857</v>
      </c>
      <c r="W140" s="20" t="s">
        <v>891</v>
      </c>
      <c r="X140" s="20" t="s">
        <v>981</v>
      </c>
      <c r="Y140" s="20" t="s">
        <v>1566</v>
      </c>
      <c r="Z140" s="20" t="s">
        <v>1529</v>
      </c>
      <c r="AA140" s="20" t="s">
        <v>1647</v>
      </c>
      <c r="AB140" s="21">
        <v>45323</v>
      </c>
      <c r="AC140" s="20"/>
      <c r="AD140" s="20"/>
      <c r="AE140" s="27">
        <v>23</v>
      </c>
      <c r="AF140" s="20"/>
      <c r="AG140" s="20">
        <v>7</v>
      </c>
      <c r="AH140" s="20"/>
      <c r="AI140" s="20"/>
      <c r="AJ140" s="20"/>
      <c r="AK140" s="20"/>
      <c r="AL140" s="20"/>
      <c r="AM140" s="20"/>
      <c r="AN140" s="20"/>
      <c r="AO140" s="20"/>
      <c r="AP140" s="20">
        <v>1</v>
      </c>
      <c r="AQ140" s="20" t="s">
        <v>1784</v>
      </c>
      <c r="AR140" s="20" t="s">
        <v>1784</v>
      </c>
      <c r="AS140" s="29">
        <v>3840</v>
      </c>
      <c r="AT140" s="63"/>
      <c r="AU140" s="27">
        <v>2944</v>
      </c>
      <c r="AV140" s="20"/>
      <c r="AW140" s="20"/>
      <c r="AX140" s="20"/>
      <c r="AY140" s="20"/>
      <c r="AZ140" s="20">
        <v>964.18</v>
      </c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>
        <v>256</v>
      </c>
      <c r="BO140" s="27">
        <v>304</v>
      </c>
      <c r="BP140" s="20"/>
      <c r="BQ140" s="20"/>
      <c r="BR140" s="20"/>
      <c r="BS140" s="27">
        <v>48.03</v>
      </c>
      <c r="BT140" s="20">
        <v>100</v>
      </c>
      <c r="BU140" s="20"/>
      <c r="BV140" s="20"/>
      <c r="BW140" s="20"/>
      <c r="BX140" s="20"/>
      <c r="BY140" s="28">
        <v>4616.21</v>
      </c>
      <c r="BZ140" s="20"/>
      <c r="CA140" s="20"/>
      <c r="CB140" s="20"/>
      <c r="CC140" s="27">
        <v>188.41</v>
      </c>
      <c r="CD140" s="20"/>
      <c r="CE140" s="27">
        <v>446.82</v>
      </c>
      <c r="CF140" s="20"/>
      <c r="CG140" s="27">
        <v>61.21</v>
      </c>
      <c r="CH140" s="20"/>
      <c r="CI140" s="20"/>
      <c r="CJ140" s="20"/>
      <c r="CK140" s="20"/>
      <c r="CL140" s="20"/>
      <c r="CM140" s="27">
        <v>304</v>
      </c>
      <c r="CN140" s="20"/>
      <c r="CO140" s="20"/>
      <c r="CP140" s="20"/>
      <c r="CQ140" s="20"/>
      <c r="CR140" s="27">
        <v>48.03</v>
      </c>
      <c r="CS140" s="20"/>
      <c r="CT140" s="20"/>
      <c r="CU140" s="20"/>
      <c r="CV140" s="20">
        <v>100</v>
      </c>
      <c r="CW140" s="20"/>
      <c r="CX140" s="20"/>
      <c r="CY140" s="28">
        <v>1148.47</v>
      </c>
      <c r="CZ140" s="27">
        <v>301.60000000000002</v>
      </c>
      <c r="DA140" s="27">
        <v>100.53</v>
      </c>
      <c r="DB140" s="27">
        <v>15.64</v>
      </c>
      <c r="DC140" s="27">
        <v>26.36</v>
      </c>
      <c r="DD140" s="20"/>
      <c r="DE140" s="27">
        <v>15.19</v>
      </c>
      <c r="DF140" s="28">
        <v>459.32</v>
      </c>
      <c r="DG140" s="28">
        <v>3467.74</v>
      </c>
    </row>
    <row r="141" spans="2:111" s="31" customFormat="1" ht="14.5" x14ac:dyDescent="0.35">
      <c r="B141" s="20">
        <v>66</v>
      </c>
      <c r="C141" s="20" t="s">
        <v>187</v>
      </c>
      <c r="D141" s="20" t="s">
        <v>109</v>
      </c>
      <c r="E141" s="20" t="s">
        <v>234</v>
      </c>
      <c r="F141" s="20" t="s">
        <v>508</v>
      </c>
      <c r="G141" s="20" t="s">
        <v>518</v>
      </c>
      <c r="H141" s="20" t="s">
        <v>500</v>
      </c>
      <c r="I141" s="20" t="s">
        <v>58</v>
      </c>
      <c r="J141" s="20" t="s">
        <v>234</v>
      </c>
      <c r="K141" s="20" t="s">
        <v>59</v>
      </c>
      <c r="L141" s="21">
        <v>29510</v>
      </c>
      <c r="M141" s="20" t="s">
        <v>464</v>
      </c>
      <c r="N141" s="20" t="s">
        <v>327</v>
      </c>
      <c r="O141" s="20" t="s">
        <v>67</v>
      </c>
      <c r="P141" s="20" t="s">
        <v>68</v>
      </c>
      <c r="Q141" s="20" t="s">
        <v>69</v>
      </c>
      <c r="R141" s="20" t="s">
        <v>779</v>
      </c>
      <c r="S141" s="20" t="s">
        <v>106</v>
      </c>
      <c r="T141" s="20" t="s">
        <v>138</v>
      </c>
      <c r="U141" s="20" t="s">
        <v>64</v>
      </c>
      <c r="V141" s="20" t="s">
        <v>1388</v>
      </c>
      <c r="W141" s="20" t="s">
        <v>893</v>
      </c>
      <c r="X141" s="20" t="s">
        <v>941</v>
      </c>
      <c r="Y141" s="20" t="s">
        <v>138</v>
      </c>
      <c r="Z141" s="20" t="s">
        <v>1529</v>
      </c>
      <c r="AA141" s="20" t="s">
        <v>1593</v>
      </c>
      <c r="AB141" s="21">
        <v>44655</v>
      </c>
      <c r="AC141" s="20"/>
      <c r="AD141" s="20"/>
      <c r="AE141" s="27">
        <v>20</v>
      </c>
      <c r="AF141" s="20"/>
      <c r="AG141" s="20">
        <v>10</v>
      </c>
      <c r="AH141" s="20"/>
      <c r="AI141" s="20"/>
      <c r="AJ141" s="20"/>
      <c r="AK141" s="20"/>
      <c r="AL141" s="20">
        <v>2</v>
      </c>
      <c r="AM141" s="20">
        <v>2</v>
      </c>
      <c r="AN141" s="20"/>
      <c r="AO141" s="20"/>
      <c r="AP141" s="20"/>
      <c r="AQ141" s="20">
        <v>12</v>
      </c>
      <c r="AR141" s="20">
        <v>8</v>
      </c>
      <c r="AS141" s="29">
        <v>3533</v>
      </c>
      <c r="AT141" s="63">
        <v>200</v>
      </c>
      <c r="AU141" s="27">
        <v>2355.33</v>
      </c>
      <c r="AV141" s="20">
        <v>200</v>
      </c>
      <c r="AW141" s="20">
        <v>38.880000000000003</v>
      </c>
      <c r="AX141" s="20">
        <v>42</v>
      </c>
      <c r="AY141" s="20"/>
      <c r="AZ141" s="20">
        <v>2079.84</v>
      </c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7">
        <v>34.799999999999997</v>
      </c>
      <c r="BP141" s="20"/>
      <c r="BQ141" s="20"/>
      <c r="BR141" s="20"/>
      <c r="BS141" s="27">
        <v>96.07</v>
      </c>
      <c r="BT141" s="20"/>
      <c r="BU141" s="20"/>
      <c r="BV141" s="20">
        <v>64.77</v>
      </c>
      <c r="BW141" s="20">
        <v>26.5</v>
      </c>
      <c r="BX141" s="20"/>
      <c r="BY141" s="28">
        <v>4938.1899999999996</v>
      </c>
      <c r="BZ141" s="20"/>
      <c r="CA141" s="20">
        <v>471.07</v>
      </c>
      <c r="CB141" s="20"/>
      <c r="CC141" s="27">
        <v>400.42</v>
      </c>
      <c r="CD141" s="20"/>
      <c r="CE141" s="27">
        <v>484.21</v>
      </c>
      <c r="CF141" s="20"/>
      <c r="CG141" s="27">
        <v>66.34</v>
      </c>
      <c r="CH141" s="20"/>
      <c r="CI141" s="20"/>
      <c r="CJ141" s="20"/>
      <c r="CK141" s="20"/>
      <c r="CL141" s="20"/>
      <c r="CM141" s="27">
        <v>34.799999999999997</v>
      </c>
      <c r="CN141" s="20"/>
      <c r="CO141" s="20"/>
      <c r="CP141" s="20"/>
      <c r="CQ141" s="20"/>
      <c r="CR141" s="27">
        <v>96.07</v>
      </c>
      <c r="CS141" s="20">
        <v>33.1</v>
      </c>
      <c r="CT141" s="20"/>
      <c r="CU141" s="20"/>
      <c r="CV141" s="20"/>
      <c r="CW141" s="20">
        <v>294.42</v>
      </c>
      <c r="CX141" s="20"/>
      <c r="CY141" s="28">
        <v>1880.43</v>
      </c>
      <c r="CZ141" s="27">
        <v>326.83999999999997</v>
      </c>
      <c r="DA141" s="27">
        <v>108.95</v>
      </c>
      <c r="DB141" s="27">
        <v>16.95</v>
      </c>
      <c r="DC141" s="27">
        <v>28.57</v>
      </c>
      <c r="DD141" s="20">
        <v>36.32</v>
      </c>
      <c r="DE141" s="27">
        <v>16.46</v>
      </c>
      <c r="DF141" s="28">
        <v>534.09</v>
      </c>
      <c r="DG141" s="28">
        <v>3057.76</v>
      </c>
    </row>
    <row r="142" spans="2:111" s="31" customFormat="1" ht="14.5" x14ac:dyDescent="0.35">
      <c r="B142" s="20">
        <v>136</v>
      </c>
      <c r="C142" s="20" t="s">
        <v>187</v>
      </c>
      <c r="D142" s="20" t="s">
        <v>105</v>
      </c>
      <c r="E142" s="20" t="s">
        <v>278</v>
      </c>
      <c r="F142" s="20" t="s">
        <v>625</v>
      </c>
      <c r="G142" s="20" t="s">
        <v>663</v>
      </c>
      <c r="H142" s="20" t="s">
        <v>664</v>
      </c>
      <c r="I142" s="20" t="s">
        <v>58</v>
      </c>
      <c r="J142" s="20" t="s">
        <v>278</v>
      </c>
      <c r="K142" s="20" t="s">
        <v>59</v>
      </c>
      <c r="L142" s="21">
        <v>36343</v>
      </c>
      <c r="M142" s="20" t="s">
        <v>665</v>
      </c>
      <c r="N142" s="20" t="s">
        <v>132</v>
      </c>
      <c r="O142" s="20" t="s">
        <v>67</v>
      </c>
      <c r="P142" s="20" t="s">
        <v>74</v>
      </c>
      <c r="Q142" s="20" t="s">
        <v>1152</v>
      </c>
      <c r="R142" s="20" t="s">
        <v>783</v>
      </c>
      <c r="S142" s="20" t="s">
        <v>787</v>
      </c>
      <c r="T142" s="20" t="s">
        <v>63</v>
      </c>
      <c r="U142" s="20" t="s">
        <v>64</v>
      </c>
      <c r="V142" s="20" t="s">
        <v>1346</v>
      </c>
      <c r="W142" s="20" t="s">
        <v>896</v>
      </c>
      <c r="X142" s="20" t="s">
        <v>983</v>
      </c>
      <c r="Y142" s="20" t="s">
        <v>63</v>
      </c>
      <c r="Z142" s="20" t="s">
        <v>1529</v>
      </c>
      <c r="AA142" s="20" t="s">
        <v>1649</v>
      </c>
      <c r="AB142" s="21">
        <v>45323</v>
      </c>
      <c r="AC142" s="20"/>
      <c r="AD142" s="20"/>
      <c r="AE142" s="27">
        <v>30</v>
      </c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>
        <v>1</v>
      </c>
      <c r="AQ142" s="20" t="s">
        <v>1784</v>
      </c>
      <c r="AR142" s="20" t="s">
        <v>1784</v>
      </c>
      <c r="AS142" s="29">
        <v>7260</v>
      </c>
      <c r="AT142" s="63"/>
      <c r="AU142" s="27">
        <v>7260</v>
      </c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>
        <v>484</v>
      </c>
      <c r="BO142" s="27">
        <v>332.5</v>
      </c>
      <c r="BP142" s="20"/>
      <c r="BQ142" s="20"/>
      <c r="BR142" s="20"/>
      <c r="BS142" s="27">
        <v>96.06</v>
      </c>
      <c r="BT142" s="20"/>
      <c r="BU142" s="20"/>
      <c r="BV142" s="20"/>
      <c r="BW142" s="20"/>
      <c r="BX142" s="20"/>
      <c r="BY142" s="28">
        <v>8172.56</v>
      </c>
      <c r="BZ142" s="20"/>
      <c r="CA142" s="20"/>
      <c r="CB142" s="20"/>
      <c r="CC142" s="27">
        <v>851.01</v>
      </c>
      <c r="CD142" s="20"/>
      <c r="CE142" s="27">
        <v>807.65</v>
      </c>
      <c r="CF142" s="20"/>
      <c r="CG142" s="27">
        <v>110.65</v>
      </c>
      <c r="CH142" s="20"/>
      <c r="CI142" s="20">
        <v>39.1</v>
      </c>
      <c r="CJ142" s="20"/>
      <c r="CK142" s="20"/>
      <c r="CL142" s="20"/>
      <c r="CM142" s="27">
        <v>332.5</v>
      </c>
      <c r="CN142" s="20"/>
      <c r="CO142" s="20"/>
      <c r="CP142" s="20"/>
      <c r="CQ142" s="20"/>
      <c r="CR142" s="27">
        <v>96.06</v>
      </c>
      <c r="CS142" s="20"/>
      <c r="CT142" s="20"/>
      <c r="CU142" s="20"/>
      <c r="CV142" s="20"/>
      <c r="CW142" s="20"/>
      <c r="CX142" s="20"/>
      <c r="CY142" s="28">
        <v>2236.9699999999998</v>
      </c>
      <c r="CZ142" s="27">
        <v>545.16</v>
      </c>
      <c r="DA142" s="27">
        <v>181.72</v>
      </c>
      <c r="DB142" s="27">
        <v>28.27</v>
      </c>
      <c r="DC142" s="27">
        <v>47.65</v>
      </c>
      <c r="DD142" s="20"/>
      <c r="DE142" s="27">
        <v>27.46</v>
      </c>
      <c r="DF142" s="28">
        <v>830.26</v>
      </c>
      <c r="DG142" s="28">
        <v>5935.59</v>
      </c>
    </row>
    <row r="143" spans="2:111" s="31" customFormat="1" ht="14.5" x14ac:dyDescent="0.35">
      <c r="B143" s="20">
        <v>137</v>
      </c>
      <c r="C143" s="20" t="s">
        <v>187</v>
      </c>
      <c r="D143" s="20" t="s">
        <v>105</v>
      </c>
      <c r="E143" s="20" t="s">
        <v>1237</v>
      </c>
      <c r="F143" s="20" t="s">
        <v>1238</v>
      </c>
      <c r="G143" s="20" t="s">
        <v>1239</v>
      </c>
      <c r="H143" s="20" t="s">
        <v>1240</v>
      </c>
      <c r="I143" s="20" t="s">
        <v>58</v>
      </c>
      <c r="J143" s="20" t="s">
        <v>1237</v>
      </c>
      <c r="K143" s="20" t="s">
        <v>66</v>
      </c>
      <c r="L143" s="21">
        <v>33268</v>
      </c>
      <c r="M143" s="20" t="s">
        <v>543</v>
      </c>
      <c r="N143" s="20" t="s">
        <v>129</v>
      </c>
      <c r="O143" s="20" t="s">
        <v>70</v>
      </c>
      <c r="P143" s="20" t="s">
        <v>71</v>
      </c>
      <c r="Q143" s="20" t="s">
        <v>72</v>
      </c>
      <c r="R143" s="20" t="s">
        <v>783</v>
      </c>
      <c r="S143" s="20" t="s">
        <v>787</v>
      </c>
      <c r="T143" s="20" t="s">
        <v>63</v>
      </c>
      <c r="U143" s="20" t="s">
        <v>64</v>
      </c>
      <c r="V143" s="20" t="s">
        <v>1241</v>
      </c>
      <c r="W143" s="20" t="s">
        <v>896</v>
      </c>
      <c r="X143" s="20" t="s">
        <v>1242</v>
      </c>
      <c r="Y143" s="20" t="s">
        <v>65</v>
      </c>
      <c r="Z143" s="20" t="s">
        <v>1529</v>
      </c>
      <c r="AA143" s="20" t="s">
        <v>1650</v>
      </c>
      <c r="AB143" s="21">
        <v>45757</v>
      </c>
      <c r="AC143" s="20"/>
      <c r="AD143" s="20"/>
      <c r="AE143" s="27">
        <v>30</v>
      </c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 t="s">
        <v>1784</v>
      </c>
      <c r="AR143" s="20" t="s">
        <v>1784</v>
      </c>
      <c r="AS143" s="29">
        <v>8000</v>
      </c>
      <c r="AT143" s="63"/>
      <c r="AU143" s="27">
        <v>8000</v>
      </c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7"/>
      <c r="BP143" s="20"/>
      <c r="BQ143" s="20"/>
      <c r="BR143" s="20"/>
      <c r="BS143" s="27">
        <v>48.03</v>
      </c>
      <c r="BT143" s="20"/>
      <c r="BU143" s="20"/>
      <c r="BV143" s="20"/>
      <c r="BW143" s="20"/>
      <c r="BX143" s="20"/>
      <c r="BY143" s="28">
        <v>8048.03</v>
      </c>
      <c r="BZ143" s="20"/>
      <c r="CA143" s="20"/>
      <c r="CB143" s="20"/>
      <c r="CC143" s="27">
        <v>525.15</v>
      </c>
      <c r="CD143" s="20"/>
      <c r="CE143" s="27">
        <v>800</v>
      </c>
      <c r="CF143" s="20"/>
      <c r="CG143" s="27">
        <v>109.6</v>
      </c>
      <c r="CH143" s="20"/>
      <c r="CI143" s="20">
        <v>39.1</v>
      </c>
      <c r="CJ143" s="20"/>
      <c r="CK143" s="20"/>
      <c r="CL143" s="20"/>
      <c r="CM143" s="27"/>
      <c r="CN143" s="20"/>
      <c r="CO143" s="20"/>
      <c r="CP143" s="20"/>
      <c r="CQ143" s="20"/>
      <c r="CR143" s="27">
        <v>48.03</v>
      </c>
      <c r="CS143" s="20"/>
      <c r="CT143" s="20"/>
      <c r="CU143" s="20"/>
      <c r="CV143" s="20"/>
      <c r="CW143" s="20"/>
      <c r="CX143" s="20"/>
      <c r="CY143" s="28">
        <v>1521.88</v>
      </c>
      <c r="CZ143" s="27">
        <v>720</v>
      </c>
      <c r="DA143" s="27"/>
      <c r="DB143" s="27">
        <v>28</v>
      </c>
      <c r="DC143" s="27">
        <v>47.2</v>
      </c>
      <c r="DD143" s="20"/>
      <c r="DE143" s="27">
        <v>27.2</v>
      </c>
      <c r="DF143" s="28">
        <v>822.4</v>
      </c>
      <c r="DG143" s="28">
        <v>6526.15</v>
      </c>
    </row>
    <row r="144" spans="2:111" s="31" customFormat="1" ht="14.5" x14ac:dyDescent="0.35">
      <c r="B144" s="32">
        <v>29</v>
      </c>
      <c r="C144" s="32" t="s">
        <v>187</v>
      </c>
      <c r="D144" s="32" t="s">
        <v>105</v>
      </c>
      <c r="E144" s="32" t="s">
        <v>207</v>
      </c>
      <c r="F144" s="32" t="s">
        <v>414</v>
      </c>
      <c r="G144" s="32" t="s">
        <v>415</v>
      </c>
      <c r="H144" s="32" t="s">
        <v>330</v>
      </c>
      <c r="I144" s="32" t="s">
        <v>58</v>
      </c>
      <c r="J144" s="32" t="s">
        <v>207</v>
      </c>
      <c r="K144" s="32" t="s">
        <v>59</v>
      </c>
      <c r="L144" s="37">
        <v>29313</v>
      </c>
      <c r="M144" s="32" t="s">
        <v>416</v>
      </c>
      <c r="N144" s="32" t="s">
        <v>129</v>
      </c>
      <c r="O144" s="32" t="s">
        <v>60</v>
      </c>
      <c r="P144" s="32" t="s">
        <v>346</v>
      </c>
      <c r="Q144" s="32" t="s">
        <v>347</v>
      </c>
      <c r="R144" s="32" t="s">
        <v>783</v>
      </c>
      <c r="S144" s="32" t="s">
        <v>787</v>
      </c>
      <c r="T144" s="32" t="s">
        <v>96</v>
      </c>
      <c r="U144" s="32" t="s">
        <v>64</v>
      </c>
      <c r="V144" s="32" t="s">
        <v>801</v>
      </c>
      <c r="W144" s="32" t="s">
        <v>898</v>
      </c>
      <c r="X144" s="32" t="s">
        <v>914</v>
      </c>
      <c r="Y144" s="32" t="s">
        <v>63</v>
      </c>
      <c r="Z144" s="32" t="s">
        <v>1529</v>
      </c>
      <c r="AA144" s="32" t="s">
        <v>1557</v>
      </c>
      <c r="AB144" s="37">
        <v>45566</v>
      </c>
      <c r="AC144" s="50">
        <v>45917</v>
      </c>
      <c r="AD144" s="32" t="s">
        <v>1023</v>
      </c>
      <c r="AE144" s="36">
        <v>17</v>
      </c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>
        <v>1</v>
      </c>
      <c r="AQ144" s="32" t="s">
        <v>1784</v>
      </c>
      <c r="AR144" s="32" t="s">
        <v>1784</v>
      </c>
      <c r="AS144" s="38">
        <v>1802.5</v>
      </c>
      <c r="AT144" s="68">
        <v>113</v>
      </c>
      <c r="AU144" s="36">
        <v>1021.42</v>
      </c>
      <c r="AV144" s="32">
        <v>113</v>
      </c>
      <c r="AW144" s="32"/>
      <c r="AX144" s="32"/>
      <c r="AY144" s="32"/>
      <c r="AZ144" s="32"/>
      <c r="BA144" s="32"/>
      <c r="BB144" s="32"/>
      <c r="BC144" s="32"/>
      <c r="BD144" s="32"/>
      <c r="BE144" s="32">
        <v>255</v>
      </c>
      <c r="BF144" s="32"/>
      <c r="BG144" s="32">
        <v>294.67</v>
      </c>
      <c r="BH144" s="32"/>
      <c r="BI144" s="32"/>
      <c r="BJ144" s="32"/>
      <c r="BK144" s="32"/>
      <c r="BL144" s="32"/>
      <c r="BM144" s="32"/>
      <c r="BN144" s="32">
        <v>127.7</v>
      </c>
      <c r="BO144" s="36"/>
      <c r="BP144" s="32"/>
      <c r="BQ144" s="32"/>
      <c r="BR144" s="32"/>
      <c r="BS144" s="36"/>
      <c r="BT144" s="32"/>
      <c r="BU144" s="32">
        <v>146.59</v>
      </c>
      <c r="BV144" s="32"/>
      <c r="BW144" s="32"/>
      <c r="BX144" s="32"/>
      <c r="BY144" s="39">
        <v>1958.38</v>
      </c>
      <c r="BZ144" s="32"/>
      <c r="CA144" s="32"/>
      <c r="CB144" s="32"/>
      <c r="CC144" s="36"/>
      <c r="CD144" s="32"/>
      <c r="CE144" s="36">
        <v>166.37</v>
      </c>
      <c r="CF144" s="32">
        <v>26.62</v>
      </c>
      <c r="CG144" s="36">
        <v>22.79</v>
      </c>
      <c r="CH144" s="32"/>
      <c r="CI144" s="32"/>
      <c r="CJ144" s="32"/>
      <c r="CK144" s="32"/>
      <c r="CL144" s="32"/>
      <c r="CM144" s="36"/>
      <c r="CN144" s="32"/>
      <c r="CO144" s="32"/>
      <c r="CP144" s="32"/>
      <c r="CQ144" s="32"/>
      <c r="CR144" s="36"/>
      <c r="CS144" s="32"/>
      <c r="CT144" s="32"/>
      <c r="CU144" s="32"/>
      <c r="CV144" s="32"/>
      <c r="CW144" s="32"/>
      <c r="CX144" s="32"/>
      <c r="CY144" s="39">
        <v>215.78</v>
      </c>
      <c r="CZ144" s="36">
        <v>112.3</v>
      </c>
      <c r="DA144" s="36">
        <v>37.43</v>
      </c>
      <c r="DB144" s="36">
        <v>5.82</v>
      </c>
      <c r="DC144" s="36">
        <v>9.82</v>
      </c>
      <c r="DD144" s="32"/>
      <c r="DE144" s="36">
        <v>5.66</v>
      </c>
      <c r="DF144" s="39">
        <v>171.03</v>
      </c>
      <c r="DG144" s="39">
        <v>1742.6</v>
      </c>
    </row>
    <row r="145" spans="1:111" s="33" customFormat="1" ht="14.5" x14ac:dyDescent="0.35">
      <c r="B145" s="20">
        <v>195</v>
      </c>
      <c r="C145" s="20" t="s">
        <v>187</v>
      </c>
      <c r="D145" s="20" t="s">
        <v>105</v>
      </c>
      <c r="E145" s="20" t="s">
        <v>1079</v>
      </c>
      <c r="F145" s="20" t="s">
        <v>1080</v>
      </c>
      <c r="G145" s="20" t="s">
        <v>1081</v>
      </c>
      <c r="H145" s="20" t="s">
        <v>1082</v>
      </c>
      <c r="I145" s="20" t="s">
        <v>58</v>
      </c>
      <c r="J145" s="20" t="s">
        <v>1079</v>
      </c>
      <c r="K145" s="20" t="s">
        <v>59</v>
      </c>
      <c r="L145" s="21">
        <v>34886</v>
      </c>
      <c r="M145" s="20" t="s">
        <v>416</v>
      </c>
      <c r="N145" s="20" t="s">
        <v>132</v>
      </c>
      <c r="O145" s="20" t="s">
        <v>60</v>
      </c>
      <c r="P145" s="20" t="s">
        <v>346</v>
      </c>
      <c r="Q145" s="20" t="s">
        <v>347</v>
      </c>
      <c r="R145" s="20" t="s">
        <v>783</v>
      </c>
      <c r="S145" s="20" t="s">
        <v>787</v>
      </c>
      <c r="T145" s="20" t="s">
        <v>137</v>
      </c>
      <c r="U145" s="20" t="s">
        <v>64</v>
      </c>
      <c r="V145" s="20" t="s">
        <v>1083</v>
      </c>
      <c r="W145" s="20" t="s">
        <v>107</v>
      </c>
      <c r="X145" s="20"/>
      <c r="Y145" s="20" t="s">
        <v>137</v>
      </c>
      <c r="Z145" s="20" t="s">
        <v>1529</v>
      </c>
      <c r="AA145" s="20" t="s">
        <v>1696</v>
      </c>
      <c r="AB145" s="21">
        <v>45663</v>
      </c>
      <c r="AC145" s="20"/>
      <c r="AD145" s="20"/>
      <c r="AE145" s="27">
        <v>30</v>
      </c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>
        <v>1</v>
      </c>
      <c r="AQ145" s="20" t="s">
        <v>1784</v>
      </c>
      <c r="AR145" s="20" t="s">
        <v>1784</v>
      </c>
      <c r="AS145" s="29">
        <v>2000</v>
      </c>
      <c r="AT145" s="63">
        <v>113</v>
      </c>
      <c r="AU145" s="27">
        <v>2000</v>
      </c>
      <c r="AV145" s="20">
        <v>113</v>
      </c>
      <c r="AW145" s="20"/>
      <c r="AX145" s="20"/>
      <c r="AY145" s="20"/>
      <c r="AZ145" s="20"/>
      <c r="BA145" s="20"/>
      <c r="BB145" s="20"/>
      <c r="BC145" s="20"/>
      <c r="BD145" s="20"/>
      <c r="BE145" s="20">
        <v>450</v>
      </c>
      <c r="BF145" s="20"/>
      <c r="BG145" s="20">
        <v>520</v>
      </c>
      <c r="BH145" s="20"/>
      <c r="BI145" s="20"/>
      <c r="BJ145" s="20"/>
      <c r="BK145" s="20"/>
      <c r="BL145" s="20"/>
      <c r="BM145" s="20"/>
      <c r="BN145" s="20">
        <v>140.87</v>
      </c>
      <c r="BO145" s="27"/>
      <c r="BP145" s="20"/>
      <c r="BQ145" s="20"/>
      <c r="BR145" s="20"/>
      <c r="BS145" s="27">
        <v>48.03</v>
      </c>
      <c r="BT145" s="20"/>
      <c r="BU145" s="20"/>
      <c r="BV145" s="20"/>
      <c r="BW145" s="20"/>
      <c r="BX145" s="20"/>
      <c r="BY145" s="28">
        <v>3271.9</v>
      </c>
      <c r="BZ145" s="20"/>
      <c r="CA145" s="20"/>
      <c r="CB145" s="20">
        <v>351.5</v>
      </c>
      <c r="CC145" s="27">
        <v>30.38</v>
      </c>
      <c r="CD145" s="20"/>
      <c r="CE145" s="27"/>
      <c r="CF145" s="20"/>
      <c r="CG145" s="27"/>
      <c r="CH145" s="20"/>
      <c r="CI145" s="20"/>
      <c r="CJ145" s="20"/>
      <c r="CK145" s="20"/>
      <c r="CL145" s="20"/>
      <c r="CM145" s="27"/>
      <c r="CN145" s="20"/>
      <c r="CO145" s="20"/>
      <c r="CP145" s="20"/>
      <c r="CQ145" s="20"/>
      <c r="CR145" s="27">
        <v>48.03</v>
      </c>
      <c r="CS145" s="20"/>
      <c r="CT145" s="20"/>
      <c r="CU145" s="20"/>
      <c r="CV145" s="20"/>
      <c r="CW145" s="20"/>
      <c r="CX145" s="20"/>
      <c r="CY145" s="28">
        <v>429.91</v>
      </c>
      <c r="CZ145" s="27">
        <v>182.51</v>
      </c>
      <c r="DA145" s="27">
        <v>60.84</v>
      </c>
      <c r="DB145" s="27">
        <v>9.4600000000000009</v>
      </c>
      <c r="DC145" s="27">
        <v>15.95</v>
      </c>
      <c r="DD145" s="20"/>
      <c r="DE145" s="27">
        <v>9.19</v>
      </c>
      <c r="DF145" s="28">
        <v>277.95</v>
      </c>
      <c r="DG145" s="28">
        <v>2841.99</v>
      </c>
    </row>
    <row r="146" spans="1:111" s="31" customFormat="1" ht="14.5" x14ac:dyDescent="0.35">
      <c r="B146" s="20">
        <v>58</v>
      </c>
      <c r="C146" s="20" t="s">
        <v>187</v>
      </c>
      <c r="D146" s="20" t="s">
        <v>109</v>
      </c>
      <c r="E146" s="20" t="s">
        <v>230</v>
      </c>
      <c r="F146" s="20" t="s">
        <v>119</v>
      </c>
      <c r="G146" s="20" t="s">
        <v>503</v>
      </c>
      <c r="H146" s="20" t="s">
        <v>504</v>
      </c>
      <c r="I146" s="20" t="s">
        <v>58</v>
      </c>
      <c r="J146" s="20" t="s">
        <v>230</v>
      </c>
      <c r="K146" s="20" t="s">
        <v>59</v>
      </c>
      <c r="L146" s="21">
        <v>36569</v>
      </c>
      <c r="M146" s="20" t="s">
        <v>505</v>
      </c>
      <c r="N146" s="20" t="s">
        <v>327</v>
      </c>
      <c r="O146" s="20" t="s">
        <v>67</v>
      </c>
      <c r="P146" s="20" t="s">
        <v>68</v>
      </c>
      <c r="Q146" s="20" t="s">
        <v>69</v>
      </c>
      <c r="R146" s="20" t="s">
        <v>779</v>
      </c>
      <c r="S146" s="20" t="s">
        <v>106</v>
      </c>
      <c r="T146" s="20" t="s">
        <v>137</v>
      </c>
      <c r="U146" s="20" t="s">
        <v>64</v>
      </c>
      <c r="V146" s="20" t="s">
        <v>819</v>
      </c>
      <c r="W146" s="20" t="s">
        <v>891</v>
      </c>
      <c r="X146" s="20" t="s">
        <v>937</v>
      </c>
      <c r="Y146" s="20" t="s">
        <v>138</v>
      </c>
      <c r="Z146" s="20" t="s">
        <v>1529</v>
      </c>
      <c r="AA146" s="20" t="s">
        <v>1588</v>
      </c>
      <c r="AB146" s="21">
        <v>44564</v>
      </c>
      <c r="AC146" s="20"/>
      <c r="AD146" s="20"/>
      <c r="AE146" s="27">
        <v>30</v>
      </c>
      <c r="AF146" s="20"/>
      <c r="AG146" s="20"/>
      <c r="AH146" s="20"/>
      <c r="AI146" s="20"/>
      <c r="AJ146" s="20"/>
      <c r="AK146" s="20"/>
      <c r="AL146" s="20">
        <v>4</v>
      </c>
      <c r="AM146" s="20">
        <v>2</v>
      </c>
      <c r="AN146" s="20"/>
      <c r="AO146" s="20"/>
      <c r="AP146" s="20"/>
      <c r="AQ146" s="20">
        <v>33</v>
      </c>
      <c r="AR146" s="20">
        <v>32</v>
      </c>
      <c r="AS146" s="29">
        <v>3317</v>
      </c>
      <c r="AT146" s="63"/>
      <c r="AU146" s="27">
        <v>3317</v>
      </c>
      <c r="AV146" s="20"/>
      <c r="AW146" s="20">
        <v>69.11</v>
      </c>
      <c r="AX146" s="20">
        <v>37.32</v>
      </c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7">
        <v>386.1</v>
      </c>
      <c r="BP146" s="20"/>
      <c r="BQ146" s="20"/>
      <c r="BR146" s="20"/>
      <c r="BS146" s="27">
        <v>144.1</v>
      </c>
      <c r="BT146" s="20"/>
      <c r="BU146" s="20"/>
      <c r="BV146" s="20">
        <v>243.24</v>
      </c>
      <c r="BW146" s="20">
        <v>68.41</v>
      </c>
      <c r="BX146" s="20"/>
      <c r="BY146" s="28">
        <v>4265.28</v>
      </c>
      <c r="BZ146" s="20"/>
      <c r="CA146" s="20">
        <v>1326.8</v>
      </c>
      <c r="CB146" s="20"/>
      <c r="CC146" s="27">
        <v>133.86000000000001</v>
      </c>
      <c r="CD146" s="20"/>
      <c r="CE146" s="27">
        <v>412.12</v>
      </c>
      <c r="CF146" s="20"/>
      <c r="CG146" s="27">
        <v>56.46</v>
      </c>
      <c r="CH146" s="20"/>
      <c r="CI146" s="20"/>
      <c r="CJ146" s="20"/>
      <c r="CK146" s="20"/>
      <c r="CL146" s="20"/>
      <c r="CM146" s="27">
        <v>386.1</v>
      </c>
      <c r="CN146" s="20"/>
      <c r="CO146" s="20"/>
      <c r="CP146" s="20"/>
      <c r="CQ146" s="20"/>
      <c r="CR146" s="27">
        <v>144.1</v>
      </c>
      <c r="CS146" s="20"/>
      <c r="CT146" s="20"/>
      <c r="CU146" s="20"/>
      <c r="CV146" s="20"/>
      <c r="CW146" s="20"/>
      <c r="CX146" s="20"/>
      <c r="CY146" s="28">
        <v>2459.44</v>
      </c>
      <c r="CZ146" s="27">
        <v>278.18</v>
      </c>
      <c r="DA146" s="27">
        <v>92.73</v>
      </c>
      <c r="DB146" s="27">
        <v>14.42</v>
      </c>
      <c r="DC146" s="27">
        <v>24.32</v>
      </c>
      <c r="DD146" s="20">
        <v>30.91</v>
      </c>
      <c r="DE146" s="27">
        <v>14.01</v>
      </c>
      <c r="DF146" s="28">
        <v>454.57</v>
      </c>
      <c r="DG146" s="28">
        <v>1805.84</v>
      </c>
    </row>
    <row r="147" spans="1:111" s="31" customFormat="1" ht="14.5" x14ac:dyDescent="0.35">
      <c r="B147" s="20">
        <v>111</v>
      </c>
      <c r="C147" s="20" t="s">
        <v>187</v>
      </c>
      <c r="D147" s="20" t="s">
        <v>109</v>
      </c>
      <c r="E147" s="20" t="s">
        <v>265</v>
      </c>
      <c r="F147" s="20" t="s">
        <v>112</v>
      </c>
      <c r="G147" s="20" t="s">
        <v>551</v>
      </c>
      <c r="H147" s="20" t="s">
        <v>624</v>
      </c>
      <c r="I147" s="20" t="s">
        <v>58</v>
      </c>
      <c r="J147" s="20" t="s">
        <v>265</v>
      </c>
      <c r="K147" s="20" t="s">
        <v>59</v>
      </c>
      <c r="L147" s="21">
        <v>25230</v>
      </c>
      <c r="M147" s="20" t="s">
        <v>505</v>
      </c>
      <c r="N147" s="20" t="s">
        <v>327</v>
      </c>
      <c r="O147" s="20" t="s">
        <v>67</v>
      </c>
      <c r="P147" s="20" t="s">
        <v>68</v>
      </c>
      <c r="Q147" s="20" t="s">
        <v>69</v>
      </c>
      <c r="R147" s="20" t="s">
        <v>779</v>
      </c>
      <c r="S147" s="20" t="s">
        <v>780</v>
      </c>
      <c r="T147" s="20" t="s">
        <v>65</v>
      </c>
      <c r="U147" s="20" t="s">
        <v>73</v>
      </c>
      <c r="V147" s="20" t="s">
        <v>850</v>
      </c>
      <c r="W147" s="20" t="s">
        <v>898</v>
      </c>
      <c r="X147" s="20" t="s">
        <v>970</v>
      </c>
      <c r="Y147" s="20" t="s">
        <v>65</v>
      </c>
      <c r="Z147" s="20" t="s">
        <v>1529</v>
      </c>
      <c r="AA147" s="20" t="s">
        <v>1630</v>
      </c>
      <c r="AB147" s="21">
        <v>44236</v>
      </c>
      <c r="AC147" s="20"/>
      <c r="AD147" s="20"/>
      <c r="AE147" s="27">
        <v>30</v>
      </c>
      <c r="AF147" s="20"/>
      <c r="AG147" s="20"/>
      <c r="AH147" s="20"/>
      <c r="AI147" s="20"/>
      <c r="AJ147" s="20"/>
      <c r="AK147" s="20"/>
      <c r="AL147" s="20">
        <v>1</v>
      </c>
      <c r="AM147" s="20"/>
      <c r="AN147" s="20"/>
      <c r="AO147" s="20"/>
      <c r="AP147" s="20"/>
      <c r="AQ147" s="20">
        <v>17</v>
      </c>
      <c r="AR147" s="20" t="s">
        <v>1784</v>
      </c>
      <c r="AS147" s="29">
        <v>4038</v>
      </c>
      <c r="AT147" s="63"/>
      <c r="AU147" s="27">
        <v>4038</v>
      </c>
      <c r="AV147" s="20"/>
      <c r="AW147" s="20">
        <v>21.03</v>
      </c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7">
        <v>391.5</v>
      </c>
      <c r="BP147" s="20"/>
      <c r="BQ147" s="20"/>
      <c r="BR147" s="20"/>
      <c r="BS147" s="27">
        <v>96.07</v>
      </c>
      <c r="BT147" s="20"/>
      <c r="BU147" s="20"/>
      <c r="BV147" s="20"/>
      <c r="BW147" s="20">
        <v>42.9</v>
      </c>
      <c r="BX147" s="20"/>
      <c r="BY147" s="28">
        <v>4589.5</v>
      </c>
      <c r="BZ147" s="20"/>
      <c r="CA147" s="20">
        <v>1615.2</v>
      </c>
      <c r="CB147" s="20"/>
      <c r="CC147" s="27">
        <v>175.35</v>
      </c>
      <c r="CD147" s="20"/>
      <c r="CE147" s="27">
        <v>449.34</v>
      </c>
      <c r="CF147" s="20"/>
      <c r="CG147" s="27">
        <v>61.56</v>
      </c>
      <c r="CH147" s="20"/>
      <c r="CI147" s="20">
        <v>174.94</v>
      </c>
      <c r="CJ147" s="20"/>
      <c r="CK147" s="20">
        <v>400</v>
      </c>
      <c r="CL147" s="20"/>
      <c r="CM147" s="27">
        <v>391.5</v>
      </c>
      <c r="CN147" s="20"/>
      <c r="CO147" s="20"/>
      <c r="CP147" s="20"/>
      <c r="CQ147" s="20"/>
      <c r="CR147" s="27">
        <v>96.07</v>
      </c>
      <c r="CS147" s="20"/>
      <c r="CT147" s="20"/>
      <c r="CU147" s="20"/>
      <c r="CV147" s="20"/>
      <c r="CW147" s="20"/>
      <c r="CX147" s="20"/>
      <c r="CY147" s="28">
        <v>3363.96</v>
      </c>
      <c r="CZ147" s="27">
        <v>303.31</v>
      </c>
      <c r="DA147" s="27">
        <v>101.1</v>
      </c>
      <c r="DB147" s="27">
        <v>15.73</v>
      </c>
      <c r="DC147" s="27">
        <v>26.51</v>
      </c>
      <c r="DD147" s="20">
        <v>33.700000000000003</v>
      </c>
      <c r="DE147" s="27">
        <v>15.28</v>
      </c>
      <c r="DF147" s="28">
        <v>495.63</v>
      </c>
      <c r="DG147" s="28">
        <v>1225.54</v>
      </c>
    </row>
    <row r="148" spans="1:111" s="31" customFormat="1" ht="14.5" x14ac:dyDescent="0.35">
      <c r="B148" s="20">
        <v>140</v>
      </c>
      <c r="C148" s="20" t="s">
        <v>187</v>
      </c>
      <c r="D148" s="20" t="s">
        <v>109</v>
      </c>
      <c r="E148" s="20" t="s">
        <v>280</v>
      </c>
      <c r="F148" s="20" t="s">
        <v>669</v>
      </c>
      <c r="G148" s="20" t="s">
        <v>121</v>
      </c>
      <c r="H148" s="20" t="s">
        <v>670</v>
      </c>
      <c r="I148" s="20" t="s">
        <v>58</v>
      </c>
      <c r="J148" s="20" t="s">
        <v>280</v>
      </c>
      <c r="K148" s="20" t="s">
        <v>59</v>
      </c>
      <c r="L148" s="21">
        <v>36281</v>
      </c>
      <c r="M148" s="20" t="s">
        <v>505</v>
      </c>
      <c r="N148" s="20" t="s">
        <v>327</v>
      </c>
      <c r="O148" s="20" t="s">
        <v>67</v>
      </c>
      <c r="P148" s="20" t="s">
        <v>68</v>
      </c>
      <c r="Q148" s="20" t="s">
        <v>69</v>
      </c>
      <c r="R148" s="20" t="s">
        <v>779</v>
      </c>
      <c r="S148" s="20" t="s">
        <v>106</v>
      </c>
      <c r="T148" s="20" t="s">
        <v>63</v>
      </c>
      <c r="U148" s="20" t="s">
        <v>64</v>
      </c>
      <c r="V148" s="20" t="s">
        <v>1393</v>
      </c>
      <c r="W148" s="20" t="s">
        <v>891</v>
      </c>
      <c r="X148" s="20" t="s">
        <v>985</v>
      </c>
      <c r="Y148" s="20" t="s">
        <v>137</v>
      </c>
      <c r="Z148" s="20" t="s">
        <v>1529</v>
      </c>
      <c r="AA148" s="20" t="s">
        <v>1652</v>
      </c>
      <c r="AB148" s="21">
        <v>44593</v>
      </c>
      <c r="AC148" s="20"/>
      <c r="AD148" s="20"/>
      <c r="AE148" s="27">
        <v>30</v>
      </c>
      <c r="AF148" s="20"/>
      <c r="AG148" s="20"/>
      <c r="AH148" s="20"/>
      <c r="AI148" s="20"/>
      <c r="AJ148" s="20"/>
      <c r="AK148" s="20"/>
      <c r="AL148" s="20">
        <v>4</v>
      </c>
      <c r="AM148" s="20">
        <v>4</v>
      </c>
      <c r="AN148" s="20"/>
      <c r="AO148" s="20"/>
      <c r="AP148" s="20"/>
      <c r="AQ148" s="20">
        <v>32</v>
      </c>
      <c r="AR148" s="20" t="s">
        <v>1784</v>
      </c>
      <c r="AS148" s="29">
        <v>3317</v>
      </c>
      <c r="AT148" s="63"/>
      <c r="AU148" s="27">
        <v>3317</v>
      </c>
      <c r="AV148" s="20"/>
      <c r="AW148" s="20">
        <v>69.11</v>
      </c>
      <c r="AX148" s="20">
        <v>74.63</v>
      </c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7">
        <v>346</v>
      </c>
      <c r="BP148" s="20"/>
      <c r="BQ148" s="20"/>
      <c r="BR148" s="20"/>
      <c r="BS148" s="27">
        <v>96.07</v>
      </c>
      <c r="BT148" s="20"/>
      <c r="BU148" s="20"/>
      <c r="BV148" s="20"/>
      <c r="BW148" s="20">
        <v>66.34</v>
      </c>
      <c r="BX148" s="20"/>
      <c r="BY148" s="28">
        <v>3969.15</v>
      </c>
      <c r="BZ148" s="20"/>
      <c r="CA148" s="20">
        <v>1326.8</v>
      </c>
      <c r="CB148" s="20"/>
      <c r="CC148" s="27">
        <v>80.540000000000006</v>
      </c>
      <c r="CD148" s="20"/>
      <c r="CE148" s="27">
        <v>387.31</v>
      </c>
      <c r="CF148" s="20"/>
      <c r="CG148" s="27">
        <v>53.06</v>
      </c>
      <c r="CH148" s="20"/>
      <c r="CI148" s="20"/>
      <c r="CJ148" s="20"/>
      <c r="CK148" s="20"/>
      <c r="CL148" s="20"/>
      <c r="CM148" s="27">
        <v>346</v>
      </c>
      <c r="CN148" s="20"/>
      <c r="CO148" s="20"/>
      <c r="CP148" s="20"/>
      <c r="CQ148" s="20"/>
      <c r="CR148" s="27">
        <v>96.07</v>
      </c>
      <c r="CS148" s="20"/>
      <c r="CT148" s="20"/>
      <c r="CU148" s="20"/>
      <c r="CV148" s="20"/>
      <c r="CW148" s="20"/>
      <c r="CX148" s="20"/>
      <c r="CY148" s="28">
        <v>2289.7800000000002</v>
      </c>
      <c r="CZ148" s="27">
        <v>261.43</v>
      </c>
      <c r="DA148" s="27">
        <v>87.14</v>
      </c>
      <c r="DB148" s="27">
        <v>13.56</v>
      </c>
      <c r="DC148" s="27">
        <v>22.85</v>
      </c>
      <c r="DD148" s="20">
        <v>29.05</v>
      </c>
      <c r="DE148" s="27">
        <v>13.17</v>
      </c>
      <c r="DF148" s="28">
        <v>427.2</v>
      </c>
      <c r="DG148" s="28">
        <v>1679.37</v>
      </c>
    </row>
    <row r="149" spans="1:111" s="31" customFormat="1" ht="14.5" x14ac:dyDescent="0.35">
      <c r="B149" s="20">
        <v>21</v>
      </c>
      <c r="C149" s="20" t="s">
        <v>187</v>
      </c>
      <c r="D149" s="20" t="s">
        <v>126</v>
      </c>
      <c r="E149" s="20" t="s">
        <v>203</v>
      </c>
      <c r="F149" s="20" t="s">
        <v>391</v>
      </c>
      <c r="G149" s="20" t="s">
        <v>392</v>
      </c>
      <c r="H149" s="20" t="s">
        <v>393</v>
      </c>
      <c r="I149" s="20" t="s">
        <v>58</v>
      </c>
      <c r="J149" s="20" t="s">
        <v>203</v>
      </c>
      <c r="K149" s="20" t="s">
        <v>59</v>
      </c>
      <c r="L149" s="21">
        <v>32268</v>
      </c>
      <c r="M149" s="20" t="s">
        <v>394</v>
      </c>
      <c r="N149" s="20" t="s">
        <v>129</v>
      </c>
      <c r="O149" s="20" t="s">
        <v>60</v>
      </c>
      <c r="P149" s="20" t="s">
        <v>395</v>
      </c>
      <c r="Q149" s="20" t="s">
        <v>396</v>
      </c>
      <c r="R149" s="20" t="s">
        <v>779</v>
      </c>
      <c r="S149" s="20" t="s">
        <v>796</v>
      </c>
      <c r="T149" s="20" t="s">
        <v>65</v>
      </c>
      <c r="U149" s="20" t="s">
        <v>73</v>
      </c>
      <c r="V149" s="20" t="s">
        <v>797</v>
      </c>
      <c r="W149" s="20" t="s">
        <v>898</v>
      </c>
      <c r="X149" s="20" t="s">
        <v>910</v>
      </c>
      <c r="Y149" s="20" t="s">
        <v>65</v>
      </c>
      <c r="Z149" s="20" t="s">
        <v>1529</v>
      </c>
      <c r="AA149" s="20" t="s">
        <v>1551</v>
      </c>
      <c r="AB149" s="21">
        <v>44067</v>
      </c>
      <c r="AC149" s="20"/>
      <c r="AD149" s="20"/>
      <c r="AE149" s="27">
        <v>27</v>
      </c>
      <c r="AF149" s="20"/>
      <c r="AG149" s="20">
        <v>3</v>
      </c>
      <c r="AH149" s="20"/>
      <c r="AI149" s="20"/>
      <c r="AJ149" s="20"/>
      <c r="AK149" s="20"/>
      <c r="AL149" s="20"/>
      <c r="AM149" s="20"/>
      <c r="AN149" s="20"/>
      <c r="AO149" s="20"/>
      <c r="AP149" s="20"/>
      <c r="AQ149" s="20" t="s">
        <v>1784</v>
      </c>
      <c r="AR149" s="20" t="s">
        <v>1784</v>
      </c>
      <c r="AS149" s="29">
        <v>46447.78</v>
      </c>
      <c r="AT149" s="63">
        <v>113</v>
      </c>
      <c r="AU149" s="27">
        <v>41803</v>
      </c>
      <c r="AV149" s="20">
        <v>113</v>
      </c>
      <c r="AW149" s="20"/>
      <c r="AX149" s="20"/>
      <c r="AY149" s="20"/>
      <c r="AZ149" s="20">
        <v>4644.78</v>
      </c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7"/>
      <c r="BP149" s="20"/>
      <c r="BQ149" s="20"/>
      <c r="BR149" s="20"/>
      <c r="BS149" s="27">
        <v>48.03</v>
      </c>
      <c r="BT149" s="20"/>
      <c r="BU149" s="20"/>
      <c r="BV149" s="20"/>
      <c r="BW149" s="20"/>
      <c r="BX149" s="20"/>
      <c r="BY149" s="28">
        <v>46608.81</v>
      </c>
      <c r="BZ149" s="20"/>
      <c r="CA149" s="20"/>
      <c r="CB149" s="20"/>
      <c r="CC149" s="27">
        <v>12683.77</v>
      </c>
      <c r="CD149" s="20"/>
      <c r="CE149" s="27">
        <v>4656.08</v>
      </c>
      <c r="CF149" s="20">
        <v>744.97</v>
      </c>
      <c r="CG149" s="27">
        <v>166.93</v>
      </c>
      <c r="CH149" s="20"/>
      <c r="CI149" s="20"/>
      <c r="CJ149" s="20"/>
      <c r="CK149" s="20"/>
      <c r="CL149" s="20"/>
      <c r="CM149" s="27"/>
      <c r="CN149" s="20"/>
      <c r="CO149" s="20"/>
      <c r="CP149" s="20"/>
      <c r="CQ149" s="20"/>
      <c r="CR149" s="27">
        <v>48.03</v>
      </c>
      <c r="CS149" s="20"/>
      <c r="CT149" s="20"/>
      <c r="CU149" s="20"/>
      <c r="CV149" s="20"/>
      <c r="CW149" s="20"/>
      <c r="CX149" s="20"/>
      <c r="CY149" s="28">
        <v>18299.78</v>
      </c>
      <c r="CZ149" s="27">
        <v>3142.85</v>
      </c>
      <c r="DA149" s="27">
        <v>1047.6199999999999</v>
      </c>
      <c r="DB149" s="27">
        <v>42.65</v>
      </c>
      <c r="DC149" s="27">
        <v>274.70999999999998</v>
      </c>
      <c r="DD149" s="20"/>
      <c r="DE149" s="27">
        <v>41.43</v>
      </c>
      <c r="DF149" s="28">
        <v>4549.26</v>
      </c>
      <c r="DG149" s="28">
        <v>28309.03</v>
      </c>
    </row>
    <row r="150" spans="1:111" s="31" customFormat="1" ht="14.5" x14ac:dyDescent="0.35">
      <c r="B150" s="20">
        <v>144</v>
      </c>
      <c r="C150" s="20" t="s">
        <v>187</v>
      </c>
      <c r="D150" s="20" t="s">
        <v>109</v>
      </c>
      <c r="E150" s="20" t="s">
        <v>282</v>
      </c>
      <c r="F150" s="20" t="s">
        <v>598</v>
      </c>
      <c r="G150" s="20" t="s">
        <v>673</v>
      </c>
      <c r="H150" s="20" t="s">
        <v>674</v>
      </c>
      <c r="I150" s="20" t="s">
        <v>58</v>
      </c>
      <c r="J150" s="20" t="s">
        <v>282</v>
      </c>
      <c r="K150" s="20" t="s">
        <v>59</v>
      </c>
      <c r="L150" s="21">
        <v>37455</v>
      </c>
      <c r="M150" s="20" t="s">
        <v>505</v>
      </c>
      <c r="N150" s="20" t="s">
        <v>327</v>
      </c>
      <c r="O150" s="20" t="s">
        <v>67</v>
      </c>
      <c r="P150" s="20" t="s">
        <v>68</v>
      </c>
      <c r="Q150" s="20" t="s">
        <v>69</v>
      </c>
      <c r="R150" s="20" t="s">
        <v>783</v>
      </c>
      <c r="S150" s="20" t="s">
        <v>780</v>
      </c>
      <c r="T150" s="20" t="s">
        <v>65</v>
      </c>
      <c r="U150" s="20" t="s">
        <v>73</v>
      </c>
      <c r="V150" s="20" t="s">
        <v>861</v>
      </c>
      <c r="W150" s="20" t="s">
        <v>891</v>
      </c>
      <c r="X150" s="20" t="s">
        <v>988</v>
      </c>
      <c r="Y150" s="20" t="s">
        <v>65</v>
      </c>
      <c r="Z150" s="20" t="s">
        <v>1529</v>
      </c>
      <c r="AA150" s="20" t="s">
        <v>1655</v>
      </c>
      <c r="AB150" s="21">
        <v>45369</v>
      </c>
      <c r="AC150" s="20"/>
      <c r="AD150" s="20"/>
      <c r="AE150" s="27">
        <v>30</v>
      </c>
      <c r="AF150" s="20"/>
      <c r="AG150" s="20"/>
      <c r="AH150" s="20"/>
      <c r="AI150" s="20"/>
      <c r="AJ150" s="20"/>
      <c r="AK150" s="20"/>
      <c r="AL150" s="20">
        <v>6</v>
      </c>
      <c r="AM150" s="20">
        <v>6</v>
      </c>
      <c r="AN150" s="20"/>
      <c r="AO150" s="20"/>
      <c r="AP150" s="20"/>
      <c r="AQ150" s="20">
        <v>62</v>
      </c>
      <c r="AR150" s="20">
        <v>24</v>
      </c>
      <c r="AS150" s="29">
        <v>3220</v>
      </c>
      <c r="AT150" s="63"/>
      <c r="AU150" s="27">
        <v>3220</v>
      </c>
      <c r="AV150" s="20"/>
      <c r="AW150" s="20">
        <v>100.62</v>
      </c>
      <c r="AX150" s="20">
        <v>108.67</v>
      </c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7">
        <v>383.6</v>
      </c>
      <c r="BP150" s="20"/>
      <c r="BQ150" s="20"/>
      <c r="BR150" s="20"/>
      <c r="BS150" s="27">
        <v>96.07</v>
      </c>
      <c r="BT150" s="20"/>
      <c r="BU150" s="20"/>
      <c r="BV150" s="20">
        <v>177.1</v>
      </c>
      <c r="BW150" s="20">
        <v>124.78</v>
      </c>
      <c r="BX150" s="20"/>
      <c r="BY150" s="28">
        <v>4210.84</v>
      </c>
      <c r="BZ150" s="20"/>
      <c r="CA150" s="20">
        <v>1288</v>
      </c>
      <c r="CB150" s="20"/>
      <c r="CC150" s="27">
        <v>124.63</v>
      </c>
      <c r="CD150" s="20"/>
      <c r="CE150" s="27">
        <v>411.48</v>
      </c>
      <c r="CF150" s="20"/>
      <c r="CG150" s="27">
        <v>56.37</v>
      </c>
      <c r="CH150" s="20"/>
      <c r="CI150" s="20"/>
      <c r="CJ150" s="20"/>
      <c r="CK150" s="20"/>
      <c r="CL150" s="20"/>
      <c r="CM150" s="27">
        <v>383.6</v>
      </c>
      <c r="CN150" s="20"/>
      <c r="CO150" s="20"/>
      <c r="CP150" s="20"/>
      <c r="CQ150" s="20"/>
      <c r="CR150" s="27">
        <v>96.07</v>
      </c>
      <c r="CS150" s="20"/>
      <c r="CT150" s="20"/>
      <c r="CU150" s="20"/>
      <c r="CV150" s="20"/>
      <c r="CW150" s="20"/>
      <c r="CX150" s="20"/>
      <c r="CY150" s="28">
        <v>2360.15</v>
      </c>
      <c r="CZ150" s="27">
        <v>277.75</v>
      </c>
      <c r="DA150" s="27">
        <v>92.58</v>
      </c>
      <c r="DB150" s="27">
        <v>14.4</v>
      </c>
      <c r="DC150" s="27">
        <v>24.28</v>
      </c>
      <c r="DD150" s="20">
        <v>30.86</v>
      </c>
      <c r="DE150" s="27">
        <v>13.99</v>
      </c>
      <c r="DF150" s="28">
        <v>453.86</v>
      </c>
      <c r="DG150" s="28">
        <v>1850.69</v>
      </c>
    </row>
    <row r="151" spans="1:111" s="31" customFormat="1" ht="14.5" x14ac:dyDescent="0.35">
      <c r="B151" s="20">
        <v>123</v>
      </c>
      <c r="C151" s="20" t="s">
        <v>187</v>
      </c>
      <c r="D151" s="20" t="s">
        <v>105</v>
      </c>
      <c r="E151" s="20" t="s">
        <v>1740</v>
      </c>
      <c r="F151" s="20" t="s">
        <v>373</v>
      </c>
      <c r="G151" s="20" t="s">
        <v>1741</v>
      </c>
      <c r="H151" s="20" t="s">
        <v>330</v>
      </c>
      <c r="I151" s="20" t="s">
        <v>58</v>
      </c>
      <c r="J151" s="20" t="s">
        <v>1740</v>
      </c>
      <c r="K151" s="20" t="s">
        <v>59</v>
      </c>
      <c r="L151" s="21">
        <v>32658</v>
      </c>
      <c r="M151" s="20" t="s">
        <v>1742</v>
      </c>
      <c r="N151" s="20" t="s">
        <v>129</v>
      </c>
      <c r="O151" s="20" t="s">
        <v>60</v>
      </c>
      <c r="P151" s="20" t="s">
        <v>61</v>
      </c>
      <c r="Q151" s="20" t="s">
        <v>62</v>
      </c>
      <c r="R151" s="20" t="s">
        <v>783</v>
      </c>
      <c r="S151" s="20" t="s">
        <v>787</v>
      </c>
      <c r="T151" s="20" t="s">
        <v>65</v>
      </c>
      <c r="U151" s="20" t="s">
        <v>73</v>
      </c>
      <c r="V151" s="20" t="s">
        <v>1743</v>
      </c>
      <c r="W151" s="20" t="s">
        <v>891</v>
      </c>
      <c r="X151" s="20" t="s">
        <v>1744</v>
      </c>
      <c r="Y151" s="20"/>
      <c r="Z151" s="20"/>
      <c r="AA151" s="20"/>
      <c r="AB151" s="21">
        <v>45901</v>
      </c>
      <c r="AC151" s="20"/>
      <c r="AD151" s="20"/>
      <c r="AE151" s="27">
        <v>30</v>
      </c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 t="s">
        <v>1784</v>
      </c>
      <c r="AR151" s="20" t="s">
        <v>1784</v>
      </c>
      <c r="AS151" s="29">
        <v>3080</v>
      </c>
      <c r="AT151" s="63">
        <v>113</v>
      </c>
      <c r="AU151" s="27">
        <v>3080</v>
      </c>
      <c r="AV151" s="20">
        <v>113</v>
      </c>
      <c r="AW151" s="20"/>
      <c r="AX151" s="20"/>
      <c r="AY151" s="20"/>
      <c r="AZ151" s="20"/>
      <c r="BA151" s="20"/>
      <c r="BB151" s="20"/>
      <c r="BC151" s="20"/>
      <c r="BD151" s="20"/>
      <c r="BE151" s="20">
        <v>390</v>
      </c>
      <c r="BF151" s="20"/>
      <c r="BG151" s="20">
        <v>520</v>
      </c>
      <c r="BH151" s="20"/>
      <c r="BI151" s="20"/>
      <c r="BJ151" s="20"/>
      <c r="BK151" s="20"/>
      <c r="BL151" s="20"/>
      <c r="BM151" s="20"/>
      <c r="BN151" s="20"/>
      <c r="BO151" s="27"/>
      <c r="BP151" s="20"/>
      <c r="BQ151" s="20"/>
      <c r="BR151" s="20"/>
      <c r="BS151" s="27">
        <v>48.03</v>
      </c>
      <c r="BT151" s="20"/>
      <c r="BU151" s="20">
        <v>1320</v>
      </c>
      <c r="BV151" s="20"/>
      <c r="BW151" s="20"/>
      <c r="BX151" s="20"/>
      <c r="BY151" s="28">
        <v>5471.03</v>
      </c>
      <c r="BZ151" s="20"/>
      <c r="CA151" s="20"/>
      <c r="CB151" s="20"/>
      <c r="CC151" s="27"/>
      <c r="CD151" s="20"/>
      <c r="CE151" s="27">
        <v>490.3</v>
      </c>
      <c r="CF151" s="20">
        <v>76</v>
      </c>
      <c r="CG151" s="27">
        <v>67.17</v>
      </c>
      <c r="CH151" s="20"/>
      <c r="CI151" s="20"/>
      <c r="CJ151" s="20"/>
      <c r="CK151" s="20"/>
      <c r="CL151" s="20"/>
      <c r="CM151" s="27"/>
      <c r="CN151" s="20"/>
      <c r="CO151" s="20"/>
      <c r="CP151" s="20"/>
      <c r="CQ151" s="20"/>
      <c r="CR151" s="27">
        <v>48.03</v>
      </c>
      <c r="CS151" s="20">
        <v>4.9000000000000004</v>
      </c>
      <c r="CT151" s="20"/>
      <c r="CU151" s="20"/>
      <c r="CV151" s="20"/>
      <c r="CW151" s="20"/>
      <c r="CX151" s="20"/>
      <c r="CY151" s="28">
        <v>686.4</v>
      </c>
      <c r="CZ151" s="27">
        <v>330.95</v>
      </c>
      <c r="DA151" s="27">
        <v>110.32</v>
      </c>
      <c r="DB151" s="27">
        <v>17.16</v>
      </c>
      <c r="DC151" s="27">
        <v>28.93</v>
      </c>
      <c r="DD151" s="20"/>
      <c r="DE151" s="27">
        <v>16.670000000000002</v>
      </c>
      <c r="DF151" s="28">
        <v>504.03</v>
      </c>
      <c r="DG151" s="28">
        <v>4784.63</v>
      </c>
    </row>
    <row r="152" spans="1:111" s="31" customFormat="1" ht="14.5" x14ac:dyDescent="0.35">
      <c r="B152" s="20">
        <v>89</v>
      </c>
      <c r="C152" s="20" t="s">
        <v>187</v>
      </c>
      <c r="D152" s="20" t="s">
        <v>105</v>
      </c>
      <c r="E152" s="20" t="s">
        <v>1734</v>
      </c>
      <c r="F152" s="20" t="s">
        <v>1090</v>
      </c>
      <c r="G152" s="20" t="s">
        <v>583</v>
      </c>
      <c r="H152" s="20" t="s">
        <v>1735</v>
      </c>
      <c r="I152" s="20" t="s">
        <v>58</v>
      </c>
      <c r="J152" s="20" t="s">
        <v>1734</v>
      </c>
      <c r="K152" s="20" t="s">
        <v>59</v>
      </c>
      <c r="L152" s="21">
        <v>30673</v>
      </c>
      <c r="M152" s="20" t="s">
        <v>1736</v>
      </c>
      <c r="N152" s="20" t="s">
        <v>129</v>
      </c>
      <c r="O152" s="20" t="s">
        <v>60</v>
      </c>
      <c r="P152" s="20" t="s">
        <v>61</v>
      </c>
      <c r="Q152" s="20" t="s">
        <v>62</v>
      </c>
      <c r="R152" s="20" t="s">
        <v>783</v>
      </c>
      <c r="S152" s="20" t="s">
        <v>787</v>
      </c>
      <c r="T152" s="20" t="s">
        <v>63</v>
      </c>
      <c r="U152" s="20" t="s">
        <v>64</v>
      </c>
      <c r="V152" s="20" t="s">
        <v>1737</v>
      </c>
      <c r="W152" s="20" t="s">
        <v>898</v>
      </c>
      <c r="X152" s="20" t="s">
        <v>1738</v>
      </c>
      <c r="Y152" s="20"/>
      <c r="Z152" s="20"/>
      <c r="AA152" s="20"/>
      <c r="AB152" s="21">
        <v>45901</v>
      </c>
      <c r="AC152" s="20"/>
      <c r="AD152" s="20"/>
      <c r="AE152" s="27">
        <v>30</v>
      </c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 t="s">
        <v>1784</v>
      </c>
      <c r="AR152" s="20" t="s">
        <v>1784</v>
      </c>
      <c r="AS152" s="29">
        <v>2800</v>
      </c>
      <c r="AT152" s="63">
        <v>113</v>
      </c>
      <c r="AU152" s="27">
        <v>2800</v>
      </c>
      <c r="AV152" s="20">
        <v>113</v>
      </c>
      <c r="AW152" s="20"/>
      <c r="AX152" s="20"/>
      <c r="AY152" s="20"/>
      <c r="AZ152" s="20"/>
      <c r="BA152" s="20"/>
      <c r="BB152" s="20"/>
      <c r="BC152" s="20"/>
      <c r="BD152" s="20"/>
      <c r="BE152" s="20">
        <v>390</v>
      </c>
      <c r="BF152" s="20"/>
      <c r="BG152" s="20">
        <v>520</v>
      </c>
      <c r="BH152" s="20"/>
      <c r="BI152" s="20"/>
      <c r="BJ152" s="20"/>
      <c r="BK152" s="20"/>
      <c r="BL152" s="20"/>
      <c r="BM152" s="20"/>
      <c r="BN152" s="20"/>
      <c r="BO152" s="27"/>
      <c r="BP152" s="20"/>
      <c r="BQ152" s="20"/>
      <c r="BR152" s="20"/>
      <c r="BS152" s="27">
        <v>48.03</v>
      </c>
      <c r="BT152" s="20"/>
      <c r="BU152" s="20">
        <v>1200</v>
      </c>
      <c r="BV152" s="20"/>
      <c r="BW152" s="20"/>
      <c r="BX152" s="20"/>
      <c r="BY152" s="28">
        <v>5071.03</v>
      </c>
      <c r="BZ152" s="20"/>
      <c r="CA152" s="20"/>
      <c r="CB152" s="20"/>
      <c r="CC152" s="27"/>
      <c r="CD152" s="20"/>
      <c r="CE152" s="27">
        <v>450.3</v>
      </c>
      <c r="CF152" s="20">
        <v>72.05</v>
      </c>
      <c r="CG152" s="27">
        <v>61.69</v>
      </c>
      <c r="CH152" s="20"/>
      <c r="CI152" s="20"/>
      <c r="CJ152" s="20"/>
      <c r="CK152" s="20"/>
      <c r="CL152" s="20"/>
      <c r="CM152" s="27"/>
      <c r="CN152" s="20"/>
      <c r="CO152" s="20"/>
      <c r="CP152" s="20"/>
      <c r="CQ152" s="20"/>
      <c r="CR152" s="27">
        <v>48.03</v>
      </c>
      <c r="CS152" s="20"/>
      <c r="CT152" s="20"/>
      <c r="CU152" s="20"/>
      <c r="CV152" s="20"/>
      <c r="CW152" s="20"/>
      <c r="CX152" s="20"/>
      <c r="CY152" s="28">
        <v>632.07000000000005</v>
      </c>
      <c r="CZ152" s="27">
        <v>405.27</v>
      </c>
      <c r="DA152" s="27"/>
      <c r="DB152" s="27">
        <v>15.76</v>
      </c>
      <c r="DC152" s="27">
        <v>26.57</v>
      </c>
      <c r="DD152" s="20"/>
      <c r="DE152" s="27">
        <v>15.31</v>
      </c>
      <c r="DF152" s="28">
        <v>462.91</v>
      </c>
      <c r="DG152" s="28">
        <v>4438.96</v>
      </c>
    </row>
    <row r="153" spans="1:111" s="31" customFormat="1" ht="14.5" x14ac:dyDescent="0.35">
      <c r="B153" s="20">
        <v>203</v>
      </c>
      <c r="C153" s="20" t="s">
        <v>187</v>
      </c>
      <c r="D153" s="20" t="s">
        <v>109</v>
      </c>
      <c r="E153" s="20" t="s">
        <v>316</v>
      </c>
      <c r="F153" s="20" t="s">
        <v>771</v>
      </c>
      <c r="G153" s="20" t="s">
        <v>108</v>
      </c>
      <c r="H153" s="20" t="s">
        <v>772</v>
      </c>
      <c r="I153" s="20" t="s">
        <v>58</v>
      </c>
      <c r="J153" s="20" t="s">
        <v>316</v>
      </c>
      <c r="K153" s="20" t="s">
        <v>59</v>
      </c>
      <c r="L153" s="21">
        <v>25687</v>
      </c>
      <c r="M153" s="20" t="s">
        <v>505</v>
      </c>
      <c r="N153" s="20" t="s">
        <v>327</v>
      </c>
      <c r="O153" s="20" t="s">
        <v>67</v>
      </c>
      <c r="P153" s="20" t="s">
        <v>328</v>
      </c>
      <c r="Q153" s="20" t="s">
        <v>329</v>
      </c>
      <c r="R153" s="20" t="s">
        <v>779</v>
      </c>
      <c r="S153" s="20" t="s">
        <v>780</v>
      </c>
      <c r="T153" s="20" t="s">
        <v>65</v>
      </c>
      <c r="U153" s="20" t="s">
        <v>73</v>
      </c>
      <c r="V153" s="20" t="s">
        <v>889</v>
      </c>
      <c r="W153" s="20" t="s">
        <v>107</v>
      </c>
      <c r="X153" s="20"/>
      <c r="Y153" s="20" t="s">
        <v>1704</v>
      </c>
      <c r="Z153" s="20" t="s">
        <v>1529</v>
      </c>
      <c r="AA153" s="20" t="s">
        <v>1705</v>
      </c>
      <c r="AB153" s="21">
        <v>44354</v>
      </c>
      <c r="AC153" s="20"/>
      <c r="AD153" s="20"/>
      <c r="AE153" s="27"/>
      <c r="AF153" s="20"/>
      <c r="AG153" s="20"/>
      <c r="AH153" s="20"/>
      <c r="AI153" s="20">
        <v>30</v>
      </c>
      <c r="AJ153" s="20"/>
      <c r="AK153" s="20"/>
      <c r="AL153" s="20"/>
      <c r="AM153" s="20"/>
      <c r="AN153" s="20"/>
      <c r="AO153" s="20"/>
      <c r="AP153" s="20"/>
      <c r="AQ153" s="20" t="s">
        <v>1784</v>
      </c>
      <c r="AR153" s="20" t="s">
        <v>1784</v>
      </c>
      <c r="AS153" s="29">
        <v>4048</v>
      </c>
      <c r="AT153" s="63"/>
      <c r="AU153" s="27"/>
      <c r="AV153" s="20"/>
      <c r="AW153" s="20"/>
      <c r="AX153" s="20"/>
      <c r="AY153" s="20"/>
      <c r="AZ153" s="20"/>
      <c r="BA153" s="20"/>
      <c r="BB153" s="20"/>
      <c r="BC153" s="20">
        <v>6028.5</v>
      </c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7"/>
      <c r="BP153" s="20"/>
      <c r="BQ153" s="20"/>
      <c r="BR153" s="20"/>
      <c r="BS153" s="27">
        <v>96.07</v>
      </c>
      <c r="BT153" s="20"/>
      <c r="BU153" s="20"/>
      <c r="BV153" s="20"/>
      <c r="BW153" s="20"/>
      <c r="BX153" s="20"/>
      <c r="BY153" s="28">
        <v>6124.57</v>
      </c>
      <c r="BZ153" s="20"/>
      <c r="CA153" s="20">
        <v>1619.2</v>
      </c>
      <c r="CB153" s="20"/>
      <c r="CC153" s="27"/>
      <c r="CD153" s="20"/>
      <c r="CE153" s="27"/>
      <c r="CF153" s="20"/>
      <c r="CG153" s="27"/>
      <c r="CH153" s="20"/>
      <c r="CI153" s="20"/>
      <c r="CJ153" s="20"/>
      <c r="CK153" s="20"/>
      <c r="CL153" s="20"/>
      <c r="CM153" s="27"/>
      <c r="CN153" s="20"/>
      <c r="CO153" s="20"/>
      <c r="CP153" s="20"/>
      <c r="CQ153" s="20"/>
      <c r="CR153" s="27">
        <v>96.07</v>
      </c>
      <c r="CS153" s="20"/>
      <c r="CT153" s="20"/>
      <c r="CU153" s="20"/>
      <c r="CV153" s="20"/>
      <c r="CW153" s="20"/>
      <c r="CX153" s="20"/>
      <c r="CY153" s="28">
        <v>1715.27</v>
      </c>
      <c r="CZ153" s="27"/>
      <c r="DA153" s="27"/>
      <c r="DB153" s="27">
        <v>21.1</v>
      </c>
      <c r="DC153" s="27">
        <v>35.57</v>
      </c>
      <c r="DD153" s="20"/>
      <c r="DE153" s="27">
        <v>20.5</v>
      </c>
      <c r="DF153" s="28">
        <v>77.17</v>
      </c>
      <c r="DG153" s="28">
        <v>4409.3</v>
      </c>
    </row>
    <row r="154" spans="1:111" s="33" customFormat="1" ht="14.5" x14ac:dyDescent="0.35">
      <c r="B154" s="20">
        <v>9</v>
      </c>
      <c r="C154" s="20" t="s">
        <v>187</v>
      </c>
      <c r="D154" s="20" t="s">
        <v>105</v>
      </c>
      <c r="E154" s="20" t="s">
        <v>194</v>
      </c>
      <c r="F154" s="20" t="s">
        <v>348</v>
      </c>
      <c r="G154" s="20" t="s">
        <v>349</v>
      </c>
      <c r="H154" s="20" t="s">
        <v>350</v>
      </c>
      <c r="I154" s="20" t="s">
        <v>58</v>
      </c>
      <c r="J154" s="20" t="s">
        <v>194</v>
      </c>
      <c r="K154" s="20" t="s">
        <v>59</v>
      </c>
      <c r="L154" s="21">
        <v>23048</v>
      </c>
      <c r="M154" s="20" t="s">
        <v>351</v>
      </c>
      <c r="N154" s="20" t="s">
        <v>129</v>
      </c>
      <c r="O154" s="20" t="s">
        <v>60</v>
      </c>
      <c r="P154" s="20" t="s">
        <v>346</v>
      </c>
      <c r="Q154" s="20" t="s">
        <v>347</v>
      </c>
      <c r="R154" s="20" t="s">
        <v>779</v>
      </c>
      <c r="S154" s="20" t="s">
        <v>106</v>
      </c>
      <c r="T154" s="20" t="s">
        <v>65</v>
      </c>
      <c r="U154" s="20" t="s">
        <v>73</v>
      </c>
      <c r="V154" s="20" t="s">
        <v>789</v>
      </c>
      <c r="W154" s="20" t="s">
        <v>898</v>
      </c>
      <c r="X154" s="20" t="s">
        <v>901</v>
      </c>
      <c r="Y154" s="20" t="s">
        <v>1273</v>
      </c>
      <c r="Z154" s="20" t="s">
        <v>1529</v>
      </c>
      <c r="AA154" s="20" t="s">
        <v>1538</v>
      </c>
      <c r="AB154" s="21">
        <v>44440</v>
      </c>
      <c r="AC154" s="20"/>
      <c r="AD154" s="20"/>
      <c r="AE154" s="27">
        <v>30</v>
      </c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 t="s">
        <v>1784</v>
      </c>
      <c r="AR154" s="20" t="s">
        <v>1784</v>
      </c>
      <c r="AS154" s="29">
        <v>3657.5</v>
      </c>
      <c r="AT154" s="29">
        <v>113</v>
      </c>
      <c r="AU154" s="27">
        <v>3657.5</v>
      </c>
      <c r="AV154" s="27">
        <v>113</v>
      </c>
      <c r="AW154" s="20"/>
      <c r="AX154" s="20"/>
      <c r="AY154" s="20"/>
      <c r="AZ154" s="20"/>
      <c r="BA154" s="20"/>
      <c r="BB154" s="20"/>
      <c r="BC154" s="20"/>
      <c r="BD154" s="20"/>
      <c r="BE154" s="27">
        <v>390</v>
      </c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7">
        <v>48.03</v>
      </c>
      <c r="BT154" s="20"/>
      <c r="BU154" s="27">
        <v>672.6</v>
      </c>
      <c r="BV154" s="20"/>
      <c r="BW154" s="20"/>
      <c r="BX154" s="20"/>
      <c r="BY154" s="28">
        <v>4881.13</v>
      </c>
      <c r="BZ154" s="20"/>
      <c r="CA154" s="20"/>
      <c r="CB154" s="20"/>
      <c r="CC154" s="27">
        <v>328.64</v>
      </c>
      <c r="CD154" s="20"/>
      <c r="CE154" s="27">
        <v>483.31</v>
      </c>
      <c r="CF154" s="27">
        <v>77.33</v>
      </c>
      <c r="CG154" s="27">
        <v>66.209999999999994</v>
      </c>
      <c r="CH154" s="20"/>
      <c r="CI154" s="27">
        <v>174.94</v>
      </c>
      <c r="CJ154" s="20"/>
      <c r="CK154" s="20"/>
      <c r="CL154" s="20"/>
      <c r="CM154" s="20"/>
      <c r="CN154" s="20"/>
      <c r="CO154" s="20"/>
      <c r="CP154" s="20"/>
      <c r="CQ154" s="20"/>
      <c r="CR154" s="27">
        <v>48.03</v>
      </c>
      <c r="CS154" s="20"/>
      <c r="CT154" s="20"/>
      <c r="CU154" s="20"/>
      <c r="CV154" s="20"/>
      <c r="CW154" s="20"/>
      <c r="CX154" s="20"/>
      <c r="CY154" s="28">
        <v>1178.46</v>
      </c>
      <c r="CZ154" s="27">
        <v>326.23</v>
      </c>
      <c r="DA154" s="27">
        <v>108.74</v>
      </c>
      <c r="DB154" s="27">
        <v>16.920000000000002</v>
      </c>
      <c r="DC154" s="27">
        <v>28.52</v>
      </c>
      <c r="DD154" s="20"/>
      <c r="DE154" s="27">
        <v>16.43</v>
      </c>
      <c r="DF154" s="28">
        <v>496.84</v>
      </c>
      <c r="DG154" s="28">
        <v>3702.67</v>
      </c>
    </row>
    <row r="155" spans="1:111" s="31" customFormat="1" ht="14.5" x14ac:dyDescent="0.35">
      <c r="B155" s="20">
        <v>28</v>
      </c>
      <c r="C155" s="20" t="s">
        <v>187</v>
      </c>
      <c r="D155" s="20" t="s">
        <v>105</v>
      </c>
      <c r="E155" s="20" t="s">
        <v>1093</v>
      </c>
      <c r="F155" s="20" t="s">
        <v>1094</v>
      </c>
      <c r="G155" s="20" t="s">
        <v>1095</v>
      </c>
      <c r="H155" s="20" t="s">
        <v>1096</v>
      </c>
      <c r="I155" s="20" t="s">
        <v>58</v>
      </c>
      <c r="J155" s="20" t="s">
        <v>1093</v>
      </c>
      <c r="K155" s="20" t="s">
        <v>66</v>
      </c>
      <c r="L155" s="21">
        <v>33675</v>
      </c>
      <c r="M155" s="20" t="s">
        <v>1097</v>
      </c>
      <c r="N155" s="20" t="s">
        <v>327</v>
      </c>
      <c r="O155" s="20" t="s">
        <v>60</v>
      </c>
      <c r="P155" s="20" t="s">
        <v>76</v>
      </c>
      <c r="Q155" s="20" t="s">
        <v>77</v>
      </c>
      <c r="R155" s="20" t="s">
        <v>779</v>
      </c>
      <c r="S155" s="20" t="s">
        <v>782</v>
      </c>
      <c r="T155" s="20" t="s">
        <v>63</v>
      </c>
      <c r="U155" s="20" t="s">
        <v>64</v>
      </c>
      <c r="V155" s="20" t="s">
        <v>1099</v>
      </c>
      <c r="W155" s="20" t="s">
        <v>896</v>
      </c>
      <c r="X155" s="20" t="s">
        <v>1100</v>
      </c>
      <c r="Y155" s="20" t="s">
        <v>63</v>
      </c>
      <c r="Z155" s="20" t="s">
        <v>1529</v>
      </c>
      <c r="AA155" s="20" t="s">
        <v>1556</v>
      </c>
      <c r="AB155" s="21">
        <v>45700</v>
      </c>
      <c r="AC155" s="20"/>
      <c r="AD155" s="20"/>
      <c r="AE155" s="27">
        <v>30</v>
      </c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 t="s">
        <v>1784</v>
      </c>
      <c r="AR155" s="20" t="s">
        <v>1784</v>
      </c>
      <c r="AS155" s="29">
        <v>25000</v>
      </c>
      <c r="AT155" s="63"/>
      <c r="AU155" s="27">
        <v>25000</v>
      </c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7"/>
      <c r="BP155" s="20"/>
      <c r="BQ155" s="20"/>
      <c r="BR155" s="20"/>
      <c r="BS155" s="27">
        <v>48.03</v>
      </c>
      <c r="BT155" s="20"/>
      <c r="BU155" s="20"/>
      <c r="BV155" s="20"/>
      <c r="BW155" s="20"/>
      <c r="BX155" s="20"/>
      <c r="BY155" s="28">
        <v>25048.03</v>
      </c>
      <c r="BZ155" s="20"/>
      <c r="CA155" s="20"/>
      <c r="CB155" s="20"/>
      <c r="CC155" s="27">
        <v>4477.33</v>
      </c>
      <c r="CD155" s="20"/>
      <c r="CE155" s="27">
        <v>2500</v>
      </c>
      <c r="CF155" s="20"/>
      <c r="CG155" s="27">
        <v>166.93</v>
      </c>
      <c r="CH155" s="20"/>
      <c r="CI155" s="20">
        <v>130.22</v>
      </c>
      <c r="CJ155" s="20"/>
      <c r="CK155" s="20"/>
      <c r="CL155" s="20"/>
      <c r="CM155" s="27"/>
      <c r="CN155" s="20"/>
      <c r="CO155" s="20"/>
      <c r="CP155" s="20"/>
      <c r="CQ155" s="20"/>
      <c r="CR155" s="27">
        <v>48.03</v>
      </c>
      <c r="CS155" s="20"/>
      <c r="CT155" s="20"/>
      <c r="CU155" s="20"/>
      <c r="CV155" s="20"/>
      <c r="CW155" s="20"/>
      <c r="CX155" s="20"/>
      <c r="CY155" s="28">
        <v>7322.51</v>
      </c>
      <c r="CZ155" s="27">
        <v>1687.5</v>
      </c>
      <c r="DA155" s="27">
        <v>562.5</v>
      </c>
      <c r="DB155" s="27">
        <v>42.65</v>
      </c>
      <c r="DC155" s="27">
        <v>147.5</v>
      </c>
      <c r="DD155" s="20"/>
      <c r="DE155" s="27">
        <v>41.43</v>
      </c>
      <c r="DF155" s="28">
        <v>2481.58</v>
      </c>
      <c r="DG155" s="28">
        <v>17725.52</v>
      </c>
    </row>
    <row r="156" spans="1:111" s="31" customFormat="1" ht="14.5" x14ac:dyDescent="0.35">
      <c r="B156" s="20">
        <v>45</v>
      </c>
      <c r="C156" s="20" t="s">
        <v>187</v>
      </c>
      <c r="D156" s="20" t="s">
        <v>105</v>
      </c>
      <c r="E156" s="20" t="s">
        <v>1032</v>
      </c>
      <c r="F156" s="20" t="s">
        <v>465</v>
      </c>
      <c r="G156" s="20" t="s">
        <v>1037</v>
      </c>
      <c r="H156" s="20" t="s">
        <v>1038</v>
      </c>
      <c r="I156" s="20" t="s">
        <v>58</v>
      </c>
      <c r="J156" s="20" t="s">
        <v>1032</v>
      </c>
      <c r="K156" s="20" t="s">
        <v>59</v>
      </c>
      <c r="L156" s="21">
        <v>31653</v>
      </c>
      <c r="M156" s="20" t="s">
        <v>1039</v>
      </c>
      <c r="N156" s="20" t="s">
        <v>129</v>
      </c>
      <c r="O156" s="20" t="s">
        <v>60</v>
      </c>
      <c r="P156" s="20" t="s">
        <v>122</v>
      </c>
      <c r="Q156" s="20" t="s">
        <v>123</v>
      </c>
      <c r="R156" s="20" t="s">
        <v>779</v>
      </c>
      <c r="S156" s="20" t="s">
        <v>782</v>
      </c>
      <c r="T156" s="20" t="s">
        <v>63</v>
      </c>
      <c r="U156" s="20" t="s">
        <v>64</v>
      </c>
      <c r="V156" s="20" t="s">
        <v>1044</v>
      </c>
      <c r="W156" s="20" t="s">
        <v>896</v>
      </c>
      <c r="X156" s="20" t="s">
        <v>1045</v>
      </c>
      <c r="Y156" s="20" t="s">
        <v>63</v>
      </c>
      <c r="Z156" s="20" t="s">
        <v>1529</v>
      </c>
      <c r="AA156" s="20" t="s">
        <v>1574</v>
      </c>
      <c r="AB156" s="21">
        <v>45642</v>
      </c>
      <c r="AC156" s="20"/>
      <c r="AD156" s="20"/>
      <c r="AE156" s="27">
        <v>30</v>
      </c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 t="s">
        <v>1784</v>
      </c>
      <c r="AR156" s="20" t="s">
        <v>1784</v>
      </c>
      <c r="AS156" s="29">
        <v>22500</v>
      </c>
      <c r="AT156" s="63">
        <v>113</v>
      </c>
      <c r="AU156" s="27">
        <v>22500</v>
      </c>
      <c r="AV156" s="20">
        <v>113</v>
      </c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7"/>
      <c r="BP156" s="20"/>
      <c r="BQ156" s="20"/>
      <c r="BR156" s="20"/>
      <c r="BS156" s="27">
        <v>48.03</v>
      </c>
      <c r="BT156" s="20"/>
      <c r="BU156" s="20"/>
      <c r="BV156" s="20"/>
      <c r="BW156" s="20"/>
      <c r="BX156" s="20"/>
      <c r="BY156" s="28">
        <v>22661.03</v>
      </c>
      <c r="BZ156" s="20"/>
      <c r="CA156" s="20"/>
      <c r="CB156" s="20"/>
      <c r="CC156" s="27">
        <v>4199.3999999999996</v>
      </c>
      <c r="CD156" s="20"/>
      <c r="CE156" s="27">
        <v>2261.3000000000002</v>
      </c>
      <c r="CF156" s="20">
        <v>332.41</v>
      </c>
      <c r="CG156" s="27">
        <v>166.93</v>
      </c>
      <c r="CH156" s="20"/>
      <c r="CI156" s="20">
        <v>520.9</v>
      </c>
      <c r="CJ156" s="20"/>
      <c r="CK156" s="20"/>
      <c r="CL156" s="20"/>
      <c r="CM156" s="27"/>
      <c r="CN156" s="20"/>
      <c r="CO156" s="20"/>
      <c r="CP156" s="20"/>
      <c r="CQ156" s="20"/>
      <c r="CR156" s="27">
        <v>48.03</v>
      </c>
      <c r="CS156" s="20"/>
      <c r="CT156" s="20"/>
      <c r="CU156" s="20"/>
      <c r="CV156" s="20"/>
      <c r="CW156" s="20"/>
      <c r="CX156" s="20"/>
      <c r="CY156" s="28">
        <v>7528.97</v>
      </c>
      <c r="CZ156" s="27">
        <v>1526.38</v>
      </c>
      <c r="DA156" s="27">
        <v>508.79</v>
      </c>
      <c r="DB156" s="27">
        <v>42.65</v>
      </c>
      <c r="DC156" s="27">
        <v>133.41999999999999</v>
      </c>
      <c r="DD156" s="20"/>
      <c r="DE156" s="27">
        <v>41.43</v>
      </c>
      <c r="DF156" s="28">
        <v>2252.67</v>
      </c>
      <c r="DG156" s="28">
        <v>15132.06</v>
      </c>
    </row>
    <row r="157" spans="1:111" s="33" customFormat="1" ht="14.5" x14ac:dyDescent="0.35">
      <c r="A157" s="33" t="s">
        <v>1801</v>
      </c>
      <c r="B157" s="20">
        <v>124</v>
      </c>
      <c r="C157" s="20" t="s">
        <v>187</v>
      </c>
      <c r="D157" s="20" t="s">
        <v>105</v>
      </c>
      <c r="E157" s="77" t="s">
        <v>273</v>
      </c>
      <c r="F157" s="20" t="s">
        <v>649</v>
      </c>
      <c r="G157" s="20" t="s">
        <v>650</v>
      </c>
      <c r="H157" s="20" t="s">
        <v>651</v>
      </c>
      <c r="I157" s="20" t="s">
        <v>470</v>
      </c>
      <c r="J157" s="20" t="s">
        <v>652</v>
      </c>
      <c r="K157" s="20" t="s">
        <v>59</v>
      </c>
      <c r="L157" s="21">
        <v>33556</v>
      </c>
      <c r="M157" s="20" t="s">
        <v>1114</v>
      </c>
      <c r="N157" s="20" t="s">
        <v>129</v>
      </c>
      <c r="O157" s="20" t="s">
        <v>60</v>
      </c>
      <c r="P157" s="20" t="s">
        <v>321</v>
      </c>
      <c r="Q157" s="20" t="s">
        <v>322</v>
      </c>
      <c r="R157" s="20" t="s">
        <v>783</v>
      </c>
      <c r="S157" s="20" t="s">
        <v>106</v>
      </c>
      <c r="T157" s="20" t="s">
        <v>65</v>
      </c>
      <c r="U157" s="20" t="s">
        <v>73</v>
      </c>
      <c r="V157" s="20" t="s">
        <v>1482</v>
      </c>
      <c r="W157" s="20" t="s">
        <v>891</v>
      </c>
      <c r="X157" s="20" t="s">
        <v>978</v>
      </c>
      <c r="Y157" s="20" t="s">
        <v>63</v>
      </c>
      <c r="Z157" s="20" t="s">
        <v>1529</v>
      </c>
      <c r="AA157" s="20" t="s">
        <v>1642</v>
      </c>
      <c r="AB157" s="21">
        <v>44844</v>
      </c>
      <c r="AC157" s="20"/>
      <c r="AD157" s="20"/>
      <c r="AE157" s="27">
        <v>30</v>
      </c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>
        <v>1</v>
      </c>
      <c r="AQ157" s="20" t="s">
        <v>1784</v>
      </c>
      <c r="AR157" s="20" t="s">
        <v>1784</v>
      </c>
      <c r="AS157" s="29">
        <v>8046.5</v>
      </c>
      <c r="AT157" s="63"/>
      <c r="AU157" s="27">
        <v>8046.5</v>
      </c>
      <c r="AV157" s="20"/>
      <c r="AW157" s="20"/>
      <c r="AX157" s="20"/>
      <c r="AY157" s="20"/>
      <c r="AZ157" s="20"/>
      <c r="BA157" s="20"/>
      <c r="BB157" s="20"/>
      <c r="BC157" s="20"/>
      <c r="BD157" s="20"/>
      <c r="BE157" s="20">
        <v>390</v>
      </c>
      <c r="BF157" s="20"/>
      <c r="BG157" s="20"/>
      <c r="BH157" s="20"/>
      <c r="BI157" s="20"/>
      <c r="BJ157" s="20"/>
      <c r="BK157" s="20"/>
      <c r="BL157" s="20"/>
      <c r="BM157" s="20"/>
      <c r="BN157" s="20">
        <v>536.42999999999995</v>
      </c>
      <c r="BO157" s="27"/>
      <c r="BP157" s="20"/>
      <c r="BQ157" s="20"/>
      <c r="BR157" s="20"/>
      <c r="BS157" s="27">
        <v>48.03</v>
      </c>
      <c r="BT157" s="20"/>
      <c r="BU157" s="20">
        <v>2186.35</v>
      </c>
      <c r="BV157" s="20"/>
      <c r="BW157" s="20"/>
      <c r="BX157" s="20"/>
      <c r="BY157" s="28">
        <v>11207.31</v>
      </c>
      <c r="BZ157" s="20"/>
      <c r="CA157" s="20"/>
      <c r="CB157" s="20"/>
      <c r="CC157" s="27">
        <v>1447.72</v>
      </c>
      <c r="CD157" s="20"/>
      <c r="CE157" s="27">
        <v>1115.93</v>
      </c>
      <c r="CF157" s="20"/>
      <c r="CG157" s="27">
        <v>152.88</v>
      </c>
      <c r="CH157" s="20"/>
      <c r="CI157" s="20"/>
      <c r="CJ157" s="20"/>
      <c r="CK157" s="20"/>
      <c r="CL157" s="20"/>
      <c r="CM157" s="27"/>
      <c r="CN157" s="20"/>
      <c r="CO157" s="20"/>
      <c r="CP157" s="20"/>
      <c r="CQ157" s="20"/>
      <c r="CR157" s="27">
        <v>48.03</v>
      </c>
      <c r="CS157" s="20"/>
      <c r="CT157" s="20"/>
      <c r="CU157" s="20"/>
      <c r="CV157" s="20"/>
      <c r="CW157" s="20"/>
      <c r="CX157" s="20"/>
      <c r="CY157" s="28">
        <v>2764.56</v>
      </c>
      <c r="CZ157" s="27">
        <v>1004.34</v>
      </c>
      <c r="DA157" s="27"/>
      <c r="DB157" s="27">
        <v>39.06</v>
      </c>
      <c r="DC157" s="27">
        <v>65.84</v>
      </c>
      <c r="DD157" s="20"/>
      <c r="DE157" s="27">
        <v>37.94</v>
      </c>
      <c r="DF157" s="28">
        <v>1147.18</v>
      </c>
      <c r="DG157" s="28">
        <v>8442.75</v>
      </c>
    </row>
    <row r="158" spans="1:111" s="31" customFormat="1" ht="14.5" x14ac:dyDescent="0.35">
      <c r="B158" s="20">
        <v>159</v>
      </c>
      <c r="C158" s="20" t="s">
        <v>187</v>
      </c>
      <c r="D158" s="20" t="s">
        <v>105</v>
      </c>
      <c r="E158" s="20" t="s">
        <v>1162</v>
      </c>
      <c r="F158" s="20" t="s">
        <v>1163</v>
      </c>
      <c r="G158" s="20" t="s">
        <v>1164</v>
      </c>
      <c r="H158" s="20" t="s">
        <v>1165</v>
      </c>
      <c r="I158" s="20" t="s">
        <v>58</v>
      </c>
      <c r="J158" s="20" t="s">
        <v>1162</v>
      </c>
      <c r="K158" s="20" t="s">
        <v>66</v>
      </c>
      <c r="L158" s="21">
        <v>35695</v>
      </c>
      <c r="M158" s="20" t="s">
        <v>1166</v>
      </c>
      <c r="N158" s="20" t="s">
        <v>129</v>
      </c>
      <c r="O158" s="20" t="s">
        <v>60</v>
      </c>
      <c r="P158" s="20" t="s">
        <v>61</v>
      </c>
      <c r="Q158" s="20" t="s">
        <v>62</v>
      </c>
      <c r="R158" s="20" t="s">
        <v>783</v>
      </c>
      <c r="S158" s="20" t="s">
        <v>787</v>
      </c>
      <c r="T158" s="20" t="s">
        <v>63</v>
      </c>
      <c r="U158" s="20" t="s">
        <v>64</v>
      </c>
      <c r="V158" s="20" t="s">
        <v>1247</v>
      </c>
      <c r="W158" s="20" t="s">
        <v>896</v>
      </c>
      <c r="X158" s="20" t="s">
        <v>1167</v>
      </c>
      <c r="Y158" s="20" t="s">
        <v>63</v>
      </c>
      <c r="Z158" s="20" t="s">
        <v>1529</v>
      </c>
      <c r="AA158" s="20" t="s">
        <v>1666</v>
      </c>
      <c r="AB158" s="21">
        <v>45726</v>
      </c>
      <c r="AC158" s="20"/>
      <c r="AD158" s="20"/>
      <c r="AE158" s="27">
        <v>30</v>
      </c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>
        <v>1</v>
      </c>
      <c r="AQ158" s="20" t="s">
        <v>1784</v>
      </c>
      <c r="AR158" s="20" t="s">
        <v>1784</v>
      </c>
      <c r="AS158" s="29">
        <v>6160</v>
      </c>
      <c r="AT158" s="63"/>
      <c r="AU158" s="27">
        <v>6160</v>
      </c>
      <c r="AV158" s="20"/>
      <c r="AW158" s="20"/>
      <c r="AX158" s="20"/>
      <c r="AY158" s="20"/>
      <c r="AZ158" s="20"/>
      <c r="BA158" s="20"/>
      <c r="BB158" s="20"/>
      <c r="BC158" s="20"/>
      <c r="BD158" s="20"/>
      <c r="BE158" s="20">
        <v>390</v>
      </c>
      <c r="BF158" s="20"/>
      <c r="BG158" s="20"/>
      <c r="BH158" s="20"/>
      <c r="BI158" s="20"/>
      <c r="BJ158" s="20"/>
      <c r="BK158" s="20"/>
      <c r="BL158" s="20"/>
      <c r="BM158" s="20"/>
      <c r="BN158" s="20">
        <v>410.67</v>
      </c>
      <c r="BO158" s="27"/>
      <c r="BP158" s="20"/>
      <c r="BQ158" s="20"/>
      <c r="BR158" s="20"/>
      <c r="BS158" s="27">
        <v>48.03</v>
      </c>
      <c r="BT158" s="20">
        <v>100</v>
      </c>
      <c r="BU158" s="20">
        <v>2162.38</v>
      </c>
      <c r="BV158" s="20"/>
      <c r="BW158" s="20"/>
      <c r="BX158" s="20"/>
      <c r="BY158" s="28">
        <v>9271.08</v>
      </c>
      <c r="BZ158" s="20"/>
      <c r="CA158" s="20"/>
      <c r="CB158" s="20"/>
      <c r="CC158" s="27">
        <v>869.05</v>
      </c>
      <c r="CD158" s="20"/>
      <c r="CE158" s="27">
        <v>912.31</v>
      </c>
      <c r="CF158" s="20"/>
      <c r="CG158" s="27">
        <v>124.99</v>
      </c>
      <c r="CH158" s="20"/>
      <c r="CI158" s="20">
        <v>130.22</v>
      </c>
      <c r="CJ158" s="20"/>
      <c r="CK158" s="20"/>
      <c r="CL158" s="20"/>
      <c r="CM158" s="27"/>
      <c r="CN158" s="20"/>
      <c r="CO158" s="20"/>
      <c r="CP158" s="20"/>
      <c r="CQ158" s="20"/>
      <c r="CR158" s="27">
        <v>48.03</v>
      </c>
      <c r="CS158" s="20"/>
      <c r="CT158" s="20"/>
      <c r="CU158" s="20"/>
      <c r="CV158" s="20">
        <v>100</v>
      </c>
      <c r="CW158" s="20"/>
      <c r="CX158" s="20"/>
      <c r="CY158" s="28">
        <v>2184.6</v>
      </c>
      <c r="CZ158" s="27">
        <v>821.07</v>
      </c>
      <c r="DA158" s="27"/>
      <c r="DB158" s="27">
        <v>31.93</v>
      </c>
      <c r="DC158" s="27">
        <v>53.83</v>
      </c>
      <c r="DD158" s="20"/>
      <c r="DE158" s="27">
        <v>31.02</v>
      </c>
      <c r="DF158" s="28">
        <v>937.85</v>
      </c>
      <c r="DG158" s="28">
        <v>7086.48</v>
      </c>
    </row>
    <row r="159" spans="1:111" s="31" customFormat="1" ht="14.5" x14ac:dyDescent="0.35">
      <c r="B159" s="20">
        <v>87</v>
      </c>
      <c r="C159" s="20" t="s">
        <v>187</v>
      </c>
      <c r="D159" s="20" t="s">
        <v>109</v>
      </c>
      <c r="E159" s="20" t="s">
        <v>246</v>
      </c>
      <c r="F159" s="20" t="s">
        <v>561</v>
      </c>
      <c r="G159" s="20" t="s">
        <v>85</v>
      </c>
      <c r="H159" s="20" t="s">
        <v>425</v>
      </c>
      <c r="I159" s="20" t="s">
        <v>58</v>
      </c>
      <c r="J159" s="20" t="s">
        <v>246</v>
      </c>
      <c r="K159" s="20" t="s">
        <v>59</v>
      </c>
      <c r="L159" s="21">
        <v>26439</v>
      </c>
      <c r="M159" s="20" t="s">
        <v>562</v>
      </c>
      <c r="N159" s="20" t="s">
        <v>327</v>
      </c>
      <c r="O159" s="20" t="s">
        <v>67</v>
      </c>
      <c r="P159" s="20" t="s">
        <v>68</v>
      </c>
      <c r="Q159" s="20" t="s">
        <v>69</v>
      </c>
      <c r="R159" s="20" t="s">
        <v>779</v>
      </c>
      <c r="S159" s="20" t="s">
        <v>780</v>
      </c>
      <c r="T159" s="20" t="s">
        <v>137</v>
      </c>
      <c r="U159" s="20" t="s">
        <v>64</v>
      </c>
      <c r="V159" s="20" t="s">
        <v>833</v>
      </c>
      <c r="W159" s="20" t="s">
        <v>893</v>
      </c>
      <c r="X159" s="20" t="s">
        <v>953</v>
      </c>
      <c r="Y159" s="20" t="s">
        <v>65</v>
      </c>
      <c r="Z159" s="20" t="s">
        <v>1529</v>
      </c>
      <c r="AA159" s="20" t="s">
        <v>1609</v>
      </c>
      <c r="AB159" s="21">
        <v>44236</v>
      </c>
      <c r="AC159" s="20"/>
      <c r="AD159" s="20"/>
      <c r="AE159" s="27">
        <v>30</v>
      </c>
      <c r="AF159" s="20"/>
      <c r="AG159" s="20"/>
      <c r="AH159" s="20"/>
      <c r="AI159" s="20"/>
      <c r="AJ159" s="20"/>
      <c r="AK159" s="20"/>
      <c r="AL159" s="20">
        <v>6</v>
      </c>
      <c r="AM159" s="20">
        <v>6</v>
      </c>
      <c r="AN159" s="20"/>
      <c r="AO159" s="20"/>
      <c r="AP159" s="20"/>
      <c r="AQ159" s="20">
        <v>36</v>
      </c>
      <c r="AR159" s="20" t="s">
        <v>1784</v>
      </c>
      <c r="AS159" s="29">
        <v>4234</v>
      </c>
      <c r="AT159" s="63"/>
      <c r="AU159" s="27">
        <v>4234</v>
      </c>
      <c r="AV159" s="20"/>
      <c r="AW159" s="20">
        <v>132.31</v>
      </c>
      <c r="AX159" s="20">
        <v>142.88999999999999</v>
      </c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7">
        <v>377.1</v>
      </c>
      <c r="BP159" s="20"/>
      <c r="BQ159" s="20"/>
      <c r="BR159" s="20"/>
      <c r="BS159" s="27">
        <v>96.07</v>
      </c>
      <c r="BT159" s="20"/>
      <c r="BU159" s="20"/>
      <c r="BV159" s="20"/>
      <c r="BW159" s="20">
        <v>95.27</v>
      </c>
      <c r="BX159" s="20"/>
      <c r="BY159" s="28">
        <v>5077.6400000000003</v>
      </c>
      <c r="BZ159" s="20"/>
      <c r="CA159" s="20">
        <v>1693.6</v>
      </c>
      <c r="CB159" s="20"/>
      <c r="CC159" s="27">
        <v>352.82</v>
      </c>
      <c r="CD159" s="20"/>
      <c r="CE159" s="27">
        <v>498.16</v>
      </c>
      <c r="CF159" s="20">
        <v>84.19</v>
      </c>
      <c r="CG159" s="27">
        <v>68.25</v>
      </c>
      <c r="CH159" s="20"/>
      <c r="CI159" s="20"/>
      <c r="CJ159" s="20"/>
      <c r="CK159" s="20"/>
      <c r="CL159" s="20"/>
      <c r="CM159" s="27">
        <v>377.1</v>
      </c>
      <c r="CN159" s="20"/>
      <c r="CO159" s="20"/>
      <c r="CP159" s="20"/>
      <c r="CQ159" s="20"/>
      <c r="CR159" s="27">
        <v>96.07</v>
      </c>
      <c r="CS159" s="20"/>
      <c r="CT159" s="20"/>
      <c r="CU159" s="20"/>
      <c r="CV159" s="20"/>
      <c r="CW159" s="20"/>
      <c r="CX159" s="20"/>
      <c r="CY159" s="28">
        <v>3170.19</v>
      </c>
      <c r="CZ159" s="27">
        <v>336.26</v>
      </c>
      <c r="DA159" s="27">
        <v>112.09</v>
      </c>
      <c r="DB159" s="27">
        <v>17.440000000000001</v>
      </c>
      <c r="DC159" s="27">
        <v>29.39</v>
      </c>
      <c r="DD159" s="20">
        <v>37.36</v>
      </c>
      <c r="DE159" s="27">
        <v>16.940000000000001</v>
      </c>
      <c r="DF159" s="28">
        <v>549.48</v>
      </c>
      <c r="DG159" s="28">
        <v>1907.45</v>
      </c>
    </row>
    <row r="160" spans="1:111" s="31" customFormat="1" ht="14.5" x14ac:dyDescent="0.35">
      <c r="B160" s="20">
        <v>23</v>
      </c>
      <c r="C160" s="20" t="s">
        <v>187</v>
      </c>
      <c r="D160" s="20" t="s">
        <v>105</v>
      </c>
      <c r="E160" s="20" t="s">
        <v>1274</v>
      </c>
      <c r="F160" s="20" t="s">
        <v>692</v>
      </c>
      <c r="G160" s="20" t="s">
        <v>1275</v>
      </c>
      <c r="H160" s="20" t="s">
        <v>1276</v>
      </c>
      <c r="I160" s="20" t="s">
        <v>58</v>
      </c>
      <c r="J160" s="20" t="s">
        <v>1274</v>
      </c>
      <c r="K160" s="20" t="s">
        <v>59</v>
      </c>
      <c r="L160" s="21">
        <v>33833</v>
      </c>
      <c r="M160" s="20" t="s">
        <v>1277</v>
      </c>
      <c r="N160" s="20" t="s">
        <v>129</v>
      </c>
      <c r="O160" s="20" t="s">
        <v>60</v>
      </c>
      <c r="P160" s="20" t="s">
        <v>321</v>
      </c>
      <c r="Q160" s="20" t="s">
        <v>322</v>
      </c>
      <c r="R160" s="20" t="s">
        <v>783</v>
      </c>
      <c r="S160" s="20" t="s">
        <v>787</v>
      </c>
      <c r="T160" s="20" t="s">
        <v>63</v>
      </c>
      <c r="U160" s="20" t="s">
        <v>64</v>
      </c>
      <c r="V160" s="20" t="s">
        <v>1278</v>
      </c>
      <c r="W160" s="20" t="s">
        <v>898</v>
      </c>
      <c r="X160" s="20" t="s">
        <v>1279</v>
      </c>
      <c r="Y160" s="20"/>
      <c r="Z160" s="20"/>
      <c r="AA160" s="20"/>
      <c r="AB160" s="21">
        <v>45782</v>
      </c>
      <c r="AC160" s="20"/>
      <c r="AD160" s="20"/>
      <c r="AE160" s="27">
        <v>30</v>
      </c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>
        <v>1</v>
      </c>
      <c r="AQ160" s="20" t="s">
        <v>1784</v>
      </c>
      <c r="AR160" s="20" t="s">
        <v>1784</v>
      </c>
      <c r="AS160" s="29">
        <v>5740</v>
      </c>
      <c r="AT160" s="63">
        <v>113</v>
      </c>
      <c r="AU160" s="27">
        <v>5740</v>
      </c>
      <c r="AV160" s="20">
        <v>113</v>
      </c>
      <c r="AW160" s="20"/>
      <c r="AX160" s="20"/>
      <c r="AY160" s="20"/>
      <c r="AZ160" s="20"/>
      <c r="BA160" s="20"/>
      <c r="BB160" s="20"/>
      <c r="BC160" s="20"/>
      <c r="BD160" s="20"/>
      <c r="BE160" s="20">
        <v>390</v>
      </c>
      <c r="BF160" s="20"/>
      <c r="BG160" s="20"/>
      <c r="BH160" s="20"/>
      <c r="BI160" s="20"/>
      <c r="BJ160" s="20"/>
      <c r="BK160" s="20"/>
      <c r="BL160" s="20"/>
      <c r="BM160" s="20"/>
      <c r="BN160" s="20">
        <v>390.2</v>
      </c>
      <c r="BO160" s="27"/>
      <c r="BP160" s="20"/>
      <c r="BQ160" s="20"/>
      <c r="BR160" s="20"/>
      <c r="BS160" s="27">
        <v>48.03</v>
      </c>
      <c r="BT160" s="20"/>
      <c r="BU160" s="20">
        <v>984</v>
      </c>
      <c r="BV160" s="20"/>
      <c r="BW160" s="20"/>
      <c r="BX160" s="20"/>
      <c r="BY160" s="28">
        <v>7665.23</v>
      </c>
      <c r="BZ160" s="20"/>
      <c r="CA160" s="20"/>
      <c r="CB160" s="20"/>
      <c r="CC160" s="27">
        <v>463.53</v>
      </c>
      <c r="CD160" s="20"/>
      <c r="CE160" s="27">
        <v>761.72</v>
      </c>
      <c r="CF160" s="20"/>
      <c r="CG160" s="27">
        <v>104.36</v>
      </c>
      <c r="CH160" s="20"/>
      <c r="CI160" s="20"/>
      <c r="CJ160" s="20"/>
      <c r="CK160" s="20"/>
      <c r="CL160" s="20"/>
      <c r="CM160" s="27"/>
      <c r="CN160" s="20"/>
      <c r="CO160" s="20"/>
      <c r="CP160" s="20"/>
      <c r="CQ160" s="20"/>
      <c r="CR160" s="27">
        <v>48.03</v>
      </c>
      <c r="CS160" s="20"/>
      <c r="CT160" s="20"/>
      <c r="CU160" s="20"/>
      <c r="CV160" s="20"/>
      <c r="CW160" s="20"/>
      <c r="CX160" s="20"/>
      <c r="CY160" s="28">
        <v>1377.64</v>
      </c>
      <c r="CZ160" s="27">
        <v>514.16</v>
      </c>
      <c r="DA160" s="27">
        <v>171.39</v>
      </c>
      <c r="DB160" s="27">
        <v>26.66</v>
      </c>
      <c r="DC160" s="27">
        <v>44.94</v>
      </c>
      <c r="DD160" s="20"/>
      <c r="DE160" s="27">
        <v>25.9</v>
      </c>
      <c r="DF160" s="28">
        <v>783.05</v>
      </c>
      <c r="DG160" s="28">
        <v>6287.59</v>
      </c>
    </row>
    <row r="161" spans="2:111" s="31" customFormat="1" ht="14.5" x14ac:dyDescent="0.35">
      <c r="B161" s="20">
        <v>128</v>
      </c>
      <c r="C161" s="20" t="s">
        <v>187</v>
      </c>
      <c r="D161" s="20" t="s">
        <v>105</v>
      </c>
      <c r="E161" s="20" t="s">
        <v>1750</v>
      </c>
      <c r="F161" s="20" t="s">
        <v>1751</v>
      </c>
      <c r="G161" s="20" t="s">
        <v>680</v>
      </c>
      <c r="H161" s="20" t="s">
        <v>1752</v>
      </c>
      <c r="I161" s="20" t="s">
        <v>58</v>
      </c>
      <c r="J161" s="20" t="s">
        <v>1750</v>
      </c>
      <c r="K161" s="20" t="s">
        <v>66</v>
      </c>
      <c r="L161" s="21">
        <v>33850</v>
      </c>
      <c r="M161" s="20" t="s">
        <v>1277</v>
      </c>
      <c r="N161" s="20" t="s">
        <v>129</v>
      </c>
      <c r="O161" s="20" t="s">
        <v>60</v>
      </c>
      <c r="P161" s="20" t="s">
        <v>113</v>
      </c>
      <c r="Q161" s="20" t="s">
        <v>114</v>
      </c>
      <c r="R161" s="20" t="s">
        <v>783</v>
      </c>
      <c r="S161" s="20" t="s">
        <v>787</v>
      </c>
      <c r="T161" s="20" t="s">
        <v>63</v>
      </c>
      <c r="U161" s="20" t="s">
        <v>64</v>
      </c>
      <c r="V161" s="20" t="s">
        <v>1753</v>
      </c>
      <c r="W161" s="20" t="s">
        <v>891</v>
      </c>
      <c r="X161" s="20" t="s">
        <v>1754</v>
      </c>
      <c r="Y161" s="20"/>
      <c r="Z161" s="20"/>
      <c r="AA161" s="20"/>
      <c r="AB161" s="21">
        <v>45917</v>
      </c>
      <c r="AC161" s="20"/>
      <c r="AD161" s="20"/>
      <c r="AE161" s="27">
        <v>14</v>
      </c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 t="s">
        <v>1784</v>
      </c>
      <c r="AR161" s="20" t="s">
        <v>1784</v>
      </c>
      <c r="AS161" s="29">
        <v>7000</v>
      </c>
      <c r="AT161" s="63"/>
      <c r="AU161" s="27">
        <v>3266.67</v>
      </c>
      <c r="AV161" s="20"/>
      <c r="AW161" s="20"/>
      <c r="AX161" s="20"/>
      <c r="AY161" s="20"/>
      <c r="AZ161" s="20"/>
      <c r="BA161" s="20"/>
      <c r="BB161" s="20"/>
      <c r="BC161" s="20"/>
      <c r="BD161" s="20"/>
      <c r="BE161" s="20">
        <v>182</v>
      </c>
      <c r="BF161" s="20"/>
      <c r="BG161" s="20"/>
      <c r="BH161" s="20"/>
      <c r="BI161" s="20"/>
      <c r="BJ161" s="20"/>
      <c r="BK161" s="20"/>
      <c r="BL161" s="20"/>
      <c r="BM161" s="20"/>
      <c r="BN161" s="20"/>
      <c r="BO161" s="27"/>
      <c r="BP161" s="20"/>
      <c r="BQ161" s="20"/>
      <c r="BR161" s="20"/>
      <c r="BS161" s="27">
        <v>48.03</v>
      </c>
      <c r="BT161" s="20"/>
      <c r="BU161" s="20">
        <v>1400</v>
      </c>
      <c r="BV161" s="20"/>
      <c r="BW161" s="20"/>
      <c r="BX161" s="20"/>
      <c r="BY161" s="28">
        <v>4896.7</v>
      </c>
      <c r="BZ161" s="20"/>
      <c r="CA161" s="20"/>
      <c r="CB161" s="20"/>
      <c r="CC161" s="27"/>
      <c r="CD161" s="20"/>
      <c r="CE161" s="27">
        <v>484.87</v>
      </c>
      <c r="CF161" s="20"/>
      <c r="CG161" s="27">
        <v>66.430000000000007</v>
      </c>
      <c r="CH161" s="20"/>
      <c r="CI161" s="20"/>
      <c r="CJ161" s="20"/>
      <c r="CK161" s="20"/>
      <c r="CL161" s="20"/>
      <c r="CM161" s="27"/>
      <c r="CN161" s="20"/>
      <c r="CO161" s="20"/>
      <c r="CP161" s="20"/>
      <c r="CQ161" s="20"/>
      <c r="CR161" s="27">
        <v>48.03</v>
      </c>
      <c r="CS161" s="20"/>
      <c r="CT161" s="20"/>
      <c r="CU161" s="20"/>
      <c r="CV161" s="20"/>
      <c r="CW161" s="20"/>
      <c r="CX161" s="20"/>
      <c r="CY161" s="28">
        <v>599.33000000000004</v>
      </c>
      <c r="CZ161" s="27">
        <v>436.38</v>
      </c>
      <c r="DA161" s="27"/>
      <c r="DB161" s="27"/>
      <c r="DC161" s="27"/>
      <c r="DD161" s="20"/>
      <c r="DE161" s="27">
        <v>16.489999999999998</v>
      </c>
      <c r="DF161" s="28">
        <v>452.87</v>
      </c>
      <c r="DG161" s="28">
        <v>4297.37</v>
      </c>
    </row>
    <row r="162" spans="2:111" s="31" customFormat="1" ht="14.5" x14ac:dyDescent="0.35">
      <c r="B162" s="20">
        <v>14</v>
      </c>
      <c r="C162" s="20" t="s">
        <v>187</v>
      </c>
      <c r="D162" s="20" t="s">
        <v>105</v>
      </c>
      <c r="E162" s="20" t="s">
        <v>1031</v>
      </c>
      <c r="F162" s="20" t="s">
        <v>1033</v>
      </c>
      <c r="G162" s="20" t="s">
        <v>1034</v>
      </c>
      <c r="H162" s="20" t="s">
        <v>1035</v>
      </c>
      <c r="I162" s="20" t="s">
        <v>58</v>
      </c>
      <c r="J162" s="20" t="s">
        <v>1031</v>
      </c>
      <c r="K162" s="20" t="s">
        <v>59</v>
      </c>
      <c r="L162" s="21">
        <v>33633</v>
      </c>
      <c r="M162" s="20" t="s">
        <v>1036</v>
      </c>
      <c r="N162" s="20" t="s">
        <v>129</v>
      </c>
      <c r="O162" s="20" t="s">
        <v>60</v>
      </c>
      <c r="P162" s="20" t="s">
        <v>321</v>
      </c>
      <c r="Q162" s="20" t="s">
        <v>322</v>
      </c>
      <c r="R162" s="20" t="s">
        <v>783</v>
      </c>
      <c r="S162" s="20" t="s">
        <v>782</v>
      </c>
      <c r="T162" s="20" t="s">
        <v>63</v>
      </c>
      <c r="U162" s="20" t="s">
        <v>64</v>
      </c>
      <c r="V162" s="20" t="s">
        <v>1040</v>
      </c>
      <c r="W162" s="20" t="s">
        <v>891</v>
      </c>
      <c r="X162" s="20" t="s">
        <v>1041</v>
      </c>
      <c r="Y162" s="20" t="s">
        <v>63</v>
      </c>
      <c r="Z162" s="20" t="s">
        <v>1529</v>
      </c>
      <c r="AA162" s="20" t="s">
        <v>1543</v>
      </c>
      <c r="AB162" s="21">
        <v>45628</v>
      </c>
      <c r="AC162" s="20"/>
      <c r="AD162" s="20"/>
      <c r="AE162" s="27">
        <v>30</v>
      </c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7">
        <v>1</v>
      </c>
      <c r="AQ162" s="20" t="s">
        <v>1784</v>
      </c>
      <c r="AR162" s="20" t="s">
        <v>1784</v>
      </c>
      <c r="AS162" s="29">
        <v>7000</v>
      </c>
      <c r="AT162" s="63"/>
      <c r="AU162" s="27">
        <v>7000</v>
      </c>
      <c r="AV162" s="20"/>
      <c r="AW162" s="20"/>
      <c r="AX162" s="20"/>
      <c r="AY162" s="20"/>
      <c r="AZ162" s="20"/>
      <c r="BA162" s="20"/>
      <c r="BB162" s="20"/>
      <c r="BC162" s="20"/>
      <c r="BD162" s="20"/>
      <c r="BE162" s="27">
        <v>390</v>
      </c>
      <c r="BF162" s="20"/>
      <c r="BG162" s="20"/>
      <c r="BH162" s="20"/>
      <c r="BI162" s="20"/>
      <c r="BJ162" s="20"/>
      <c r="BK162" s="20"/>
      <c r="BL162" s="20"/>
      <c r="BM162" s="20"/>
      <c r="BN162" s="27">
        <v>466.67</v>
      </c>
      <c r="BO162" s="20"/>
      <c r="BP162" s="20"/>
      <c r="BQ162" s="20"/>
      <c r="BR162" s="20"/>
      <c r="BS162" s="27">
        <v>48.03</v>
      </c>
      <c r="BT162" s="20"/>
      <c r="BU162" s="27">
        <v>2016</v>
      </c>
      <c r="BV162" s="20"/>
      <c r="BW162" s="20"/>
      <c r="BX162" s="20"/>
      <c r="BY162" s="28">
        <v>9920.7000000000007</v>
      </c>
      <c r="BZ162" s="20"/>
      <c r="CA162" s="20"/>
      <c r="CB162" s="20"/>
      <c r="CC162" s="27">
        <v>1174.95</v>
      </c>
      <c r="CD162" s="20"/>
      <c r="CE162" s="27">
        <v>987.27</v>
      </c>
      <c r="CF162" s="20"/>
      <c r="CG162" s="27">
        <v>135.26</v>
      </c>
      <c r="CH162" s="20"/>
      <c r="CI162" s="20"/>
      <c r="CJ162" s="20"/>
      <c r="CK162" s="20"/>
      <c r="CL162" s="20"/>
      <c r="CM162" s="20"/>
      <c r="CN162" s="20"/>
      <c r="CO162" s="20"/>
      <c r="CP162" s="27">
        <v>107</v>
      </c>
      <c r="CQ162" s="20"/>
      <c r="CR162" s="27">
        <v>48.03</v>
      </c>
      <c r="CS162" s="20"/>
      <c r="CT162" s="20"/>
      <c r="CU162" s="20"/>
      <c r="CV162" s="20"/>
      <c r="CW162" s="20"/>
      <c r="CX162" s="20"/>
      <c r="CY162" s="28">
        <v>2452.5100000000002</v>
      </c>
      <c r="CZ162" s="27">
        <v>666.41</v>
      </c>
      <c r="DA162" s="27">
        <v>222.14</v>
      </c>
      <c r="DB162" s="27">
        <v>34.549999999999997</v>
      </c>
      <c r="DC162" s="27">
        <v>58.25</v>
      </c>
      <c r="DD162" s="20"/>
      <c r="DE162" s="27">
        <v>33.57</v>
      </c>
      <c r="DF162" s="28">
        <v>1014.92</v>
      </c>
      <c r="DG162" s="28">
        <v>7468.19</v>
      </c>
    </row>
    <row r="163" spans="2:111" s="31" customFormat="1" ht="14.5" x14ac:dyDescent="0.35">
      <c r="B163" s="32">
        <v>52</v>
      </c>
      <c r="C163" s="32" t="s">
        <v>187</v>
      </c>
      <c r="D163" s="32" t="s">
        <v>105</v>
      </c>
      <c r="E163" s="32" t="s">
        <v>1204</v>
      </c>
      <c r="F163" s="32" t="s">
        <v>491</v>
      </c>
      <c r="G163" s="32" t="s">
        <v>1205</v>
      </c>
      <c r="H163" s="32" t="s">
        <v>1206</v>
      </c>
      <c r="I163" s="32" t="s">
        <v>58</v>
      </c>
      <c r="J163" s="32" t="s">
        <v>1204</v>
      </c>
      <c r="K163" s="32" t="s">
        <v>59</v>
      </c>
      <c r="L163" s="37">
        <v>35865</v>
      </c>
      <c r="M163" s="32" t="s">
        <v>1207</v>
      </c>
      <c r="N163" s="32" t="s">
        <v>129</v>
      </c>
      <c r="O163" s="32" t="s">
        <v>60</v>
      </c>
      <c r="P163" s="32" t="s">
        <v>321</v>
      </c>
      <c r="Q163" s="32" t="s">
        <v>322</v>
      </c>
      <c r="R163" s="32" t="s">
        <v>783</v>
      </c>
      <c r="S163" s="32" t="s">
        <v>787</v>
      </c>
      <c r="T163" s="32" t="s">
        <v>63</v>
      </c>
      <c r="U163" s="32" t="s">
        <v>64</v>
      </c>
      <c r="V163" s="32" t="s">
        <v>1208</v>
      </c>
      <c r="W163" s="32" t="s">
        <v>898</v>
      </c>
      <c r="X163" s="32" t="s">
        <v>1209</v>
      </c>
      <c r="Y163" s="32" t="s">
        <v>63</v>
      </c>
      <c r="Z163" s="32" t="s">
        <v>1529</v>
      </c>
      <c r="AA163" s="32" t="s">
        <v>1582</v>
      </c>
      <c r="AB163" s="37">
        <v>45775</v>
      </c>
      <c r="AC163" s="50">
        <v>45930</v>
      </c>
      <c r="AD163" s="32" t="s">
        <v>1488</v>
      </c>
      <c r="AE163" s="36">
        <v>30</v>
      </c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>
        <v>1</v>
      </c>
      <c r="AQ163" s="32" t="s">
        <v>1784</v>
      </c>
      <c r="AR163" s="32" t="s">
        <v>1784</v>
      </c>
      <c r="AS163" s="38">
        <v>5600</v>
      </c>
      <c r="AT163" s="68"/>
      <c r="AU163" s="36">
        <v>5600</v>
      </c>
      <c r="AV163" s="32"/>
      <c r="AW163" s="32"/>
      <c r="AX163" s="32"/>
      <c r="AY163" s="32"/>
      <c r="AZ163" s="32"/>
      <c r="BA163" s="32"/>
      <c r="BB163" s="32"/>
      <c r="BC163" s="32"/>
      <c r="BD163" s="32"/>
      <c r="BE163" s="32">
        <v>390</v>
      </c>
      <c r="BF163" s="32"/>
      <c r="BG163" s="32"/>
      <c r="BH163" s="32"/>
      <c r="BI163" s="32"/>
      <c r="BJ163" s="32"/>
      <c r="BK163" s="32"/>
      <c r="BL163" s="32"/>
      <c r="BM163" s="32"/>
      <c r="BN163" s="32">
        <v>373.33</v>
      </c>
      <c r="BO163" s="36"/>
      <c r="BP163" s="32"/>
      <c r="BQ163" s="32"/>
      <c r="BR163" s="32"/>
      <c r="BS163" s="36">
        <v>96.06</v>
      </c>
      <c r="BT163" s="32"/>
      <c r="BU163" s="32"/>
      <c r="BV163" s="32"/>
      <c r="BW163" s="32"/>
      <c r="BX163" s="32"/>
      <c r="BY163" s="39">
        <v>6459.39</v>
      </c>
      <c r="BZ163" s="32"/>
      <c r="CA163" s="32"/>
      <c r="CB163" s="32"/>
      <c r="CC163" s="36"/>
      <c r="CD163" s="32"/>
      <c r="CE163" s="36">
        <v>636.33000000000004</v>
      </c>
      <c r="CF163" s="32"/>
      <c r="CG163" s="36">
        <v>87.18</v>
      </c>
      <c r="CH163" s="32"/>
      <c r="CI163" s="32"/>
      <c r="CJ163" s="32"/>
      <c r="CK163" s="32"/>
      <c r="CL163" s="32"/>
      <c r="CM163" s="36"/>
      <c r="CN163" s="32"/>
      <c r="CO163" s="32"/>
      <c r="CP163" s="32"/>
      <c r="CQ163" s="32"/>
      <c r="CR163" s="36">
        <v>96.06</v>
      </c>
      <c r="CS163" s="32"/>
      <c r="CT163" s="32"/>
      <c r="CU163" s="32"/>
      <c r="CV163" s="32"/>
      <c r="CW163" s="32"/>
      <c r="CX163" s="32"/>
      <c r="CY163" s="39">
        <v>819.57</v>
      </c>
      <c r="CZ163" s="36">
        <v>429.52</v>
      </c>
      <c r="DA163" s="36">
        <v>143.16999999999999</v>
      </c>
      <c r="DB163" s="36">
        <v>22.27</v>
      </c>
      <c r="DC163" s="36">
        <v>37.54</v>
      </c>
      <c r="DD163" s="32"/>
      <c r="DE163" s="36">
        <v>21.64</v>
      </c>
      <c r="DF163" s="39">
        <v>654.14</v>
      </c>
      <c r="DG163" s="39">
        <v>5639.82</v>
      </c>
    </row>
    <row r="164" spans="2:111" s="31" customFormat="1" ht="14.5" x14ac:dyDescent="0.35">
      <c r="B164" s="20">
        <v>88</v>
      </c>
      <c r="C164" s="20" t="s">
        <v>187</v>
      </c>
      <c r="D164" s="20" t="s">
        <v>105</v>
      </c>
      <c r="E164" s="20" t="s">
        <v>247</v>
      </c>
      <c r="F164" s="20" t="s">
        <v>563</v>
      </c>
      <c r="G164" s="20" t="s">
        <v>564</v>
      </c>
      <c r="H164" s="20" t="s">
        <v>565</v>
      </c>
      <c r="I164" s="20" t="s">
        <v>58</v>
      </c>
      <c r="J164" s="20" t="s">
        <v>247</v>
      </c>
      <c r="K164" s="20" t="s">
        <v>59</v>
      </c>
      <c r="L164" s="21">
        <v>30182</v>
      </c>
      <c r="M164" s="20" t="s">
        <v>1103</v>
      </c>
      <c r="N164" s="20" t="s">
        <v>129</v>
      </c>
      <c r="O164" s="20" t="s">
        <v>60</v>
      </c>
      <c r="P164" s="20" t="s">
        <v>346</v>
      </c>
      <c r="Q164" s="20" t="s">
        <v>347</v>
      </c>
      <c r="R164" s="20" t="s">
        <v>783</v>
      </c>
      <c r="S164" s="20" t="s">
        <v>106</v>
      </c>
      <c r="T164" s="20" t="s">
        <v>65</v>
      </c>
      <c r="U164" s="20" t="s">
        <v>73</v>
      </c>
      <c r="V164" s="20" t="s">
        <v>834</v>
      </c>
      <c r="W164" s="20" t="s">
        <v>893</v>
      </c>
      <c r="X164" s="20" t="s">
        <v>954</v>
      </c>
      <c r="Y164" s="20" t="s">
        <v>65</v>
      </c>
      <c r="Z164" s="20" t="s">
        <v>1529</v>
      </c>
      <c r="AA164" s="20" t="s">
        <v>1610</v>
      </c>
      <c r="AB164" s="21">
        <v>44749</v>
      </c>
      <c r="AC164" s="20"/>
      <c r="AD164" s="20"/>
      <c r="AE164" s="27">
        <v>30</v>
      </c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 t="s">
        <v>1784</v>
      </c>
      <c r="AR164" s="20" t="s">
        <v>1784</v>
      </c>
      <c r="AS164" s="29">
        <v>4242</v>
      </c>
      <c r="AT164" s="63">
        <v>113</v>
      </c>
      <c r="AU164" s="27">
        <v>4242</v>
      </c>
      <c r="AV164" s="20">
        <v>113</v>
      </c>
      <c r="AW164" s="20"/>
      <c r="AX164" s="20"/>
      <c r="AY164" s="20"/>
      <c r="AZ164" s="20"/>
      <c r="BA164" s="20"/>
      <c r="BB164" s="20"/>
      <c r="BC164" s="20"/>
      <c r="BD164" s="20"/>
      <c r="BE164" s="20">
        <v>450</v>
      </c>
      <c r="BF164" s="20"/>
      <c r="BG164" s="20"/>
      <c r="BH164" s="20"/>
      <c r="BI164" s="20"/>
      <c r="BJ164" s="20"/>
      <c r="BK164" s="20"/>
      <c r="BL164" s="20"/>
      <c r="BM164" s="20"/>
      <c r="BN164" s="20"/>
      <c r="BO164" s="27"/>
      <c r="BP164" s="20"/>
      <c r="BQ164" s="20"/>
      <c r="BR164" s="20"/>
      <c r="BS164" s="27">
        <v>96.06</v>
      </c>
      <c r="BT164" s="20"/>
      <c r="BU164" s="20">
        <v>1999.17</v>
      </c>
      <c r="BV164" s="20"/>
      <c r="BW164" s="20"/>
      <c r="BX164" s="20"/>
      <c r="BY164" s="28">
        <v>6900.23</v>
      </c>
      <c r="BZ164" s="20"/>
      <c r="CA164" s="20"/>
      <c r="CB164" s="20"/>
      <c r="CC164" s="27">
        <v>665.06</v>
      </c>
      <c r="CD164" s="20"/>
      <c r="CE164" s="27">
        <v>680.42</v>
      </c>
      <c r="CF164" s="20"/>
      <c r="CG164" s="27">
        <v>93.22</v>
      </c>
      <c r="CH164" s="20"/>
      <c r="CI164" s="20"/>
      <c r="CJ164" s="20"/>
      <c r="CK164" s="20"/>
      <c r="CL164" s="20"/>
      <c r="CM164" s="27"/>
      <c r="CN164" s="20"/>
      <c r="CO164" s="20"/>
      <c r="CP164" s="20"/>
      <c r="CQ164" s="20"/>
      <c r="CR164" s="27">
        <v>96.06</v>
      </c>
      <c r="CS164" s="20"/>
      <c r="CT164" s="20"/>
      <c r="CU164" s="20"/>
      <c r="CV164" s="20"/>
      <c r="CW164" s="20"/>
      <c r="CX164" s="20"/>
      <c r="CY164" s="28">
        <v>1534.76</v>
      </c>
      <c r="CZ164" s="27">
        <v>459.28</v>
      </c>
      <c r="DA164" s="27">
        <v>153.09</v>
      </c>
      <c r="DB164" s="27">
        <v>23.81</v>
      </c>
      <c r="DC164" s="27">
        <v>40.14</v>
      </c>
      <c r="DD164" s="20"/>
      <c r="DE164" s="27">
        <v>23.13</v>
      </c>
      <c r="DF164" s="28">
        <v>699.45</v>
      </c>
      <c r="DG164" s="28">
        <v>5365.47</v>
      </c>
    </row>
    <row r="165" spans="2:111" s="31" customFormat="1" ht="14.5" x14ac:dyDescent="0.35">
      <c r="B165" s="20">
        <v>102</v>
      </c>
      <c r="C165" s="20" t="s">
        <v>187</v>
      </c>
      <c r="D165" s="20" t="s">
        <v>105</v>
      </c>
      <c r="E165" s="20" t="s">
        <v>1286</v>
      </c>
      <c r="F165" s="20" t="s">
        <v>1287</v>
      </c>
      <c r="G165" s="20" t="s">
        <v>1288</v>
      </c>
      <c r="H165" s="20" t="s">
        <v>1289</v>
      </c>
      <c r="I165" s="20" t="s">
        <v>58</v>
      </c>
      <c r="J165" s="20" t="s">
        <v>1286</v>
      </c>
      <c r="K165" s="20" t="s">
        <v>59</v>
      </c>
      <c r="L165" s="21">
        <v>34782</v>
      </c>
      <c r="M165" s="20" t="s">
        <v>1103</v>
      </c>
      <c r="N165" s="20" t="s">
        <v>129</v>
      </c>
      <c r="O165" s="20" t="s">
        <v>60</v>
      </c>
      <c r="P165" s="20" t="s">
        <v>346</v>
      </c>
      <c r="Q165" s="20" t="s">
        <v>347</v>
      </c>
      <c r="R165" s="20" t="s">
        <v>783</v>
      </c>
      <c r="S165" s="20" t="s">
        <v>787</v>
      </c>
      <c r="T165" s="20" t="s">
        <v>65</v>
      </c>
      <c r="U165" s="20" t="s">
        <v>73</v>
      </c>
      <c r="V165" s="20" t="s">
        <v>1290</v>
      </c>
      <c r="W165" s="20" t="s">
        <v>898</v>
      </c>
      <c r="X165" s="20" t="s">
        <v>1291</v>
      </c>
      <c r="Y165" s="20"/>
      <c r="Z165" s="20"/>
      <c r="AA165" s="20"/>
      <c r="AB165" s="21">
        <v>45791</v>
      </c>
      <c r="AC165" s="20"/>
      <c r="AD165" s="20"/>
      <c r="AE165" s="27">
        <v>20</v>
      </c>
      <c r="AF165" s="20"/>
      <c r="AG165" s="20">
        <v>10</v>
      </c>
      <c r="AH165" s="20"/>
      <c r="AI165" s="20"/>
      <c r="AJ165" s="20"/>
      <c r="AK165" s="20"/>
      <c r="AL165" s="20"/>
      <c r="AM165" s="20"/>
      <c r="AN165" s="20"/>
      <c r="AO165" s="20"/>
      <c r="AP165" s="20">
        <v>1</v>
      </c>
      <c r="AQ165" s="20" t="s">
        <v>1784</v>
      </c>
      <c r="AR165" s="20" t="s">
        <v>1784</v>
      </c>
      <c r="AS165" s="29">
        <v>5880</v>
      </c>
      <c r="AT165" s="63"/>
      <c r="AU165" s="27">
        <v>3920</v>
      </c>
      <c r="AV165" s="20"/>
      <c r="AW165" s="20"/>
      <c r="AX165" s="20"/>
      <c r="AY165" s="20"/>
      <c r="AZ165" s="20">
        <v>2497.65</v>
      </c>
      <c r="BA165" s="20"/>
      <c r="BB165" s="20"/>
      <c r="BC165" s="20"/>
      <c r="BD165" s="20"/>
      <c r="BE165" s="20">
        <v>300</v>
      </c>
      <c r="BF165" s="20"/>
      <c r="BG165" s="20"/>
      <c r="BH165" s="20"/>
      <c r="BI165" s="20"/>
      <c r="BJ165" s="20"/>
      <c r="BK165" s="20"/>
      <c r="BL165" s="20"/>
      <c r="BM165" s="20"/>
      <c r="BN165" s="20">
        <v>392</v>
      </c>
      <c r="BO165" s="27"/>
      <c r="BP165" s="20"/>
      <c r="BQ165" s="20"/>
      <c r="BR165" s="20"/>
      <c r="BS165" s="27">
        <v>48.03</v>
      </c>
      <c r="BT165" s="20"/>
      <c r="BU165" s="20">
        <v>1375.36</v>
      </c>
      <c r="BV165" s="20"/>
      <c r="BW165" s="20"/>
      <c r="BX165" s="20"/>
      <c r="BY165" s="28">
        <v>8533.0400000000009</v>
      </c>
      <c r="BZ165" s="20"/>
      <c r="CA165" s="20"/>
      <c r="CB165" s="20"/>
      <c r="CC165" s="27">
        <v>516.63</v>
      </c>
      <c r="CD165" s="20"/>
      <c r="CE165" s="27">
        <v>848.5</v>
      </c>
      <c r="CF165" s="20"/>
      <c r="CG165" s="27">
        <v>116.24</v>
      </c>
      <c r="CH165" s="20"/>
      <c r="CI165" s="20"/>
      <c r="CJ165" s="20"/>
      <c r="CK165" s="20"/>
      <c r="CL165" s="20"/>
      <c r="CM165" s="27"/>
      <c r="CN165" s="20"/>
      <c r="CO165" s="20"/>
      <c r="CP165" s="20"/>
      <c r="CQ165" s="20"/>
      <c r="CR165" s="27">
        <v>48.03</v>
      </c>
      <c r="CS165" s="20"/>
      <c r="CT165" s="20"/>
      <c r="CU165" s="20"/>
      <c r="CV165" s="20"/>
      <c r="CW165" s="20"/>
      <c r="CX165" s="20"/>
      <c r="CY165" s="28">
        <v>1529.4</v>
      </c>
      <c r="CZ165" s="27">
        <v>572.74</v>
      </c>
      <c r="DA165" s="27">
        <v>190.91</v>
      </c>
      <c r="DB165" s="27">
        <v>29.7</v>
      </c>
      <c r="DC165" s="27">
        <v>50.06</v>
      </c>
      <c r="DD165" s="20"/>
      <c r="DE165" s="27">
        <v>28.85</v>
      </c>
      <c r="DF165" s="28">
        <v>872.26</v>
      </c>
      <c r="DG165" s="28">
        <v>7003.64</v>
      </c>
    </row>
    <row r="166" spans="2:111" s="31" customFormat="1" ht="14.5" x14ac:dyDescent="0.35">
      <c r="B166" s="20">
        <v>160</v>
      </c>
      <c r="C166" s="20" t="s">
        <v>187</v>
      </c>
      <c r="D166" s="20" t="s">
        <v>105</v>
      </c>
      <c r="E166" s="20" t="s">
        <v>289</v>
      </c>
      <c r="F166" s="20" t="s">
        <v>689</v>
      </c>
      <c r="G166" s="20" t="s">
        <v>411</v>
      </c>
      <c r="H166" s="20" t="s">
        <v>690</v>
      </c>
      <c r="I166" s="20" t="s">
        <v>58</v>
      </c>
      <c r="J166" s="20" t="s">
        <v>289</v>
      </c>
      <c r="K166" s="20" t="s">
        <v>59</v>
      </c>
      <c r="L166" s="21">
        <v>36443</v>
      </c>
      <c r="M166" s="20" t="s">
        <v>691</v>
      </c>
      <c r="N166" s="20" t="s">
        <v>129</v>
      </c>
      <c r="O166" s="20" t="s">
        <v>67</v>
      </c>
      <c r="P166" s="20" t="s">
        <v>74</v>
      </c>
      <c r="Q166" s="20" t="s">
        <v>1152</v>
      </c>
      <c r="R166" s="20" t="s">
        <v>783</v>
      </c>
      <c r="S166" s="20" t="s">
        <v>787</v>
      </c>
      <c r="T166" s="20" t="s">
        <v>63</v>
      </c>
      <c r="U166" s="20" t="s">
        <v>64</v>
      </c>
      <c r="V166" s="20" t="s">
        <v>1248</v>
      </c>
      <c r="W166" s="20" t="s">
        <v>891</v>
      </c>
      <c r="X166" s="20" t="s">
        <v>995</v>
      </c>
      <c r="Y166" s="20" t="s">
        <v>63</v>
      </c>
      <c r="Z166" s="20" t="s">
        <v>1529</v>
      </c>
      <c r="AA166" s="20" t="s">
        <v>1667</v>
      </c>
      <c r="AB166" s="21">
        <v>45474</v>
      </c>
      <c r="AC166" s="20"/>
      <c r="AD166" s="20"/>
      <c r="AE166" s="27">
        <v>30</v>
      </c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 t="s">
        <v>1784</v>
      </c>
      <c r="AR166" s="20" t="s">
        <v>1784</v>
      </c>
      <c r="AS166" s="29">
        <v>4888</v>
      </c>
      <c r="AT166" s="63"/>
      <c r="AU166" s="27">
        <v>4888</v>
      </c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7">
        <v>295</v>
      </c>
      <c r="BP166" s="20"/>
      <c r="BQ166" s="20"/>
      <c r="BR166" s="20"/>
      <c r="BS166" s="27">
        <v>48.03</v>
      </c>
      <c r="BT166" s="20"/>
      <c r="BU166" s="20"/>
      <c r="BV166" s="20"/>
      <c r="BW166" s="20"/>
      <c r="BX166" s="20"/>
      <c r="BY166" s="28">
        <v>5231.03</v>
      </c>
      <c r="BZ166" s="20"/>
      <c r="CA166" s="20"/>
      <c r="CB166" s="20"/>
      <c r="CC166" s="27">
        <v>308.52</v>
      </c>
      <c r="CD166" s="20"/>
      <c r="CE166" s="27">
        <v>518.29999999999995</v>
      </c>
      <c r="CF166" s="20"/>
      <c r="CG166" s="27">
        <v>71.010000000000005</v>
      </c>
      <c r="CH166" s="20"/>
      <c r="CI166" s="20"/>
      <c r="CJ166" s="20"/>
      <c r="CK166" s="20"/>
      <c r="CL166" s="20"/>
      <c r="CM166" s="27">
        <v>295</v>
      </c>
      <c r="CN166" s="20"/>
      <c r="CO166" s="20"/>
      <c r="CP166" s="20"/>
      <c r="CQ166" s="20"/>
      <c r="CR166" s="27">
        <v>48.03</v>
      </c>
      <c r="CS166" s="20"/>
      <c r="CT166" s="20"/>
      <c r="CU166" s="20"/>
      <c r="CV166" s="20"/>
      <c r="CW166" s="20"/>
      <c r="CX166" s="20"/>
      <c r="CY166" s="28">
        <v>1240.8599999999999</v>
      </c>
      <c r="CZ166" s="27">
        <v>349.85</v>
      </c>
      <c r="DA166" s="27">
        <v>116.62</v>
      </c>
      <c r="DB166" s="27">
        <v>18.14</v>
      </c>
      <c r="DC166" s="27">
        <v>30.58</v>
      </c>
      <c r="DD166" s="20"/>
      <c r="DE166" s="27">
        <v>17.62</v>
      </c>
      <c r="DF166" s="28">
        <v>532.80999999999995</v>
      </c>
      <c r="DG166" s="28">
        <v>3990.17</v>
      </c>
    </row>
    <row r="167" spans="2:111" s="31" customFormat="1" ht="14.5" x14ac:dyDescent="0.35">
      <c r="B167" s="20">
        <v>161</v>
      </c>
      <c r="C167" s="20" t="s">
        <v>187</v>
      </c>
      <c r="D167" s="20" t="s">
        <v>105</v>
      </c>
      <c r="E167" s="20" t="s">
        <v>290</v>
      </c>
      <c r="F167" s="20" t="s">
        <v>609</v>
      </c>
      <c r="G167" s="20" t="s">
        <v>693</v>
      </c>
      <c r="H167" s="20" t="s">
        <v>694</v>
      </c>
      <c r="I167" s="20" t="s">
        <v>58</v>
      </c>
      <c r="J167" s="20" t="s">
        <v>290</v>
      </c>
      <c r="K167" s="20" t="s">
        <v>59</v>
      </c>
      <c r="L167" s="21">
        <v>34314</v>
      </c>
      <c r="M167" s="20" t="s">
        <v>695</v>
      </c>
      <c r="N167" s="20" t="s">
        <v>129</v>
      </c>
      <c r="O167" s="20" t="s">
        <v>70</v>
      </c>
      <c r="P167" s="20" t="s">
        <v>590</v>
      </c>
      <c r="Q167" s="20" t="s">
        <v>591</v>
      </c>
      <c r="R167" s="20" t="s">
        <v>783</v>
      </c>
      <c r="S167" s="20" t="s">
        <v>782</v>
      </c>
      <c r="T167" s="20" t="s">
        <v>65</v>
      </c>
      <c r="U167" s="20" t="s">
        <v>73</v>
      </c>
      <c r="V167" s="20" t="s">
        <v>868</v>
      </c>
      <c r="W167" s="20" t="s">
        <v>896</v>
      </c>
      <c r="X167" s="20" t="s">
        <v>996</v>
      </c>
      <c r="Y167" s="20" t="s">
        <v>65</v>
      </c>
      <c r="Z167" s="20" t="s">
        <v>1529</v>
      </c>
      <c r="AA167" s="20" t="s">
        <v>1668</v>
      </c>
      <c r="AB167" s="21">
        <v>45215</v>
      </c>
      <c r="AC167" s="20"/>
      <c r="AD167" s="20"/>
      <c r="AE167" s="27">
        <v>30</v>
      </c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 t="s">
        <v>1784</v>
      </c>
      <c r="AR167" s="20" t="s">
        <v>1784</v>
      </c>
      <c r="AS167" s="29">
        <v>10640</v>
      </c>
      <c r="AT167" s="63"/>
      <c r="AU167" s="27">
        <v>10640</v>
      </c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7"/>
      <c r="BP167" s="20"/>
      <c r="BQ167" s="20"/>
      <c r="BR167" s="20"/>
      <c r="BS167" s="27">
        <v>48.03</v>
      </c>
      <c r="BT167" s="20"/>
      <c r="BU167" s="20"/>
      <c r="BV167" s="20"/>
      <c r="BW167" s="20"/>
      <c r="BX167" s="20"/>
      <c r="BY167" s="28">
        <v>10688.03</v>
      </c>
      <c r="BZ167" s="20"/>
      <c r="CA167" s="20"/>
      <c r="CB167" s="20"/>
      <c r="CC167" s="27">
        <v>1398.24</v>
      </c>
      <c r="CD167" s="20"/>
      <c r="CE167" s="27">
        <v>1064</v>
      </c>
      <c r="CF167" s="20"/>
      <c r="CG167" s="27">
        <v>145.77000000000001</v>
      </c>
      <c r="CH167" s="20"/>
      <c r="CI167" s="20"/>
      <c r="CJ167" s="20"/>
      <c r="CK167" s="20"/>
      <c r="CL167" s="20"/>
      <c r="CM167" s="27"/>
      <c r="CN167" s="20"/>
      <c r="CO167" s="20"/>
      <c r="CP167" s="20"/>
      <c r="CQ167" s="20"/>
      <c r="CR167" s="27">
        <v>48.03</v>
      </c>
      <c r="CS167" s="20"/>
      <c r="CT167" s="20"/>
      <c r="CU167" s="20"/>
      <c r="CV167" s="20"/>
      <c r="CW167" s="20"/>
      <c r="CX167" s="20"/>
      <c r="CY167" s="28">
        <v>2656.04</v>
      </c>
      <c r="CZ167" s="27">
        <v>718.2</v>
      </c>
      <c r="DA167" s="27">
        <v>239.4</v>
      </c>
      <c r="DB167" s="27">
        <v>37.24</v>
      </c>
      <c r="DC167" s="27">
        <v>62.78</v>
      </c>
      <c r="DD167" s="20"/>
      <c r="DE167" s="27">
        <v>36.18</v>
      </c>
      <c r="DF167" s="28">
        <v>1093.8</v>
      </c>
      <c r="DG167" s="28">
        <v>8031.99</v>
      </c>
    </row>
    <row r="168" spans="2:111" s="31" customFormat="1" ht="14.5" x14ac:dyDescent="0.35">
      <c r="B168" s="20">
        <v>186</v>
      </c>
      <c r="C168" s="20" t="s">
        <v>187</v>
      </c>
      <c r="D168" s="20" t="s">
        <v>109</v>
      </c>
      <c r="E168" s="20" t="s">
        <v>304</v>
      </c>
      <c r="F168" s="20" t="s">
        <v>121</v>
      </c>
      <c r="G168" s="20" t="s">
        <v>370</v>
      </c>
      <c r="H168" s="20" t="s">
        <v>116</v>
      </c>
      <c r="I168" s="20" t="s">
        <v>58</v>
      </c>
      <c r="J168" s="20" t="s">
        <v>304</v>
      </c>
      <c r="K168" s="20" t="s">
        <v>59</v>
      </c>
      <c r="L168" s="21">
        <v>24917</v>
      </c>
      <c r="M168" s="20" t="s">
        <v>562</v>
      </c>
      <c r="N168" s="20" t="s">
        <v>327</v>
      </c>
      <c r="O168" s="20" t="s">
        <v>67</v>
      </c>
      <c r="P168" s="20" t="s">
        <v>68</v>
      </c>
      <c r="Q168" s="20" t="s">
        <v>69</v>
      </c>
      <c r="R168" s="20" t="s">
        <v>779</v>
      </c>
      <c r="S168" s="20" t="s">
        <v>780</v>
      </c>
      <c r="T168" s="20" t="s">
        <v>65</v>
      </c>
      <c r="U168" s="20" t="s">
        <v>73</v>
      </c>
      <c r="V168" s="20" t="s">
        <v>880</v>
      </c>
      <c r="W168" s="20" t="s">
        <v>891</v>
      </c>
      <c r="X168" s="20" t="s">
        <v>1010</v>
      </c>
      <c r="Y168" s="20" t="s">
        <v>1560</v>
      </c>
      <c r="Z168" s="20" t="s">
        <v>1529</v>
      </c>
      <c r="AA168" s="20" t="s">
        <v>1688</v>
      </c>
      <c r="AB168" s="21">
        <v>44249</v>
      </c>
      <c r="AC168" s="20"/>
      <c r="AD168" s="20"/>
      <c r="AE168" s="27">
        <v>30</v>
      </c>
      <c r="AF168" s="20"/>
      <c r="AG168" s="20"/>
      <c r="AH168" s="20"/>
      <c r="AI168" s="20"/>
      <c r="AJ168" s="20"/>
      <c r="AK168" s="20"/>
      <c r="AL168" s="20">
        <v>4</v>
      </c>
      <c r="AM168" s="20">
        <v>15</v>
      </c>
      <c r="AN168" s="20"/>
      <c r="AO168" s="20"/>
      <c r="AP168" s="20"/>
      <c r="AQ168" s="20">
        <v>69</v>
      </c>
      <c r="AR168" s="20">
        <v>40</v>
      </c>
      <c r="AS168" s="29">
        <v>4234</v>
      </c>
      <c r="AT168" s="63">
        <v>150</v>
      </c>
      <c r="AU168" s="27">
        <v>4234</v>
      </c>
      <c r="AV168" s="20">
        <v>150</v>
      </c>
      <c r="AW168" s="20">
        <v>91.33</v>
      </c>
      <c r="AX168" s="20">
        <v>369.89</v>
      </c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7">
        <v>443.9</v>
      </c>
      <c r="BP168" s="20"/>
      <c r="BQ168" s="20"/>
      <c r="BR168" s="20"/>
      <c r="BS168" s="27">
        <v>96.07</v>
      </c>
      <c r="BT168" s="20"/>
      <c r="BU168" s="20"/>
      <c r="BV168" s="20">
        <v>388.12</v>
      </c>
      <c r="BW168" s="20">
        <v>182.59</v>
      </c>
      <c r="BX168" s="20"/>
      <c r="BY168" s="28">
        <v>5955.9</v>
      </c>
      <c r="BZ168" s="20"/>
      <c r="CA168" s="20">
        <v>1693.6</v>
      </c>
      <c r="CB168" s="20"/>
      <c r="CC168" s="27">
        <v>516.16999999999996</v>
      </c>
      <c r="CD168" s="20"/>
      <c r="CE168" s="27">
        <v>585.98</v>
      </c>
      <c r="CF168" s="20"/>
      <c r="CG168" s="27">
        <v>80.28</v>
      </c>
      <c r="CH168" s="20"/>
      <c r="CI168" s="20"/>
      <c r="CJ168" s="20"/>
      <c r="CK168" s="20"/>
      <c r="CL168" s="20"/>
      <c r="CM168" s="27">
        <v>443.9</v>
      </c>
      <c r="CN168" s="20"/>
      <c r="CO168" s="20"/>
      <c r="CP168" s="20"/>
      <c r="CQ168" s="20"/>
      <c r="CR168" s="27">
        <v>96.07</v>
      </c>
      <c r="CS168" s="20"/>
      <c r="CT168" s="20"/>
      <c r="CU168" s="20"/>
      <c r="CV168" s="20"/>
      <c r="CW168" s="20">
        <v>300</v>
      </c>
      <c r="CX168" s="20"/>
      <c r="CY168" s="28">
        <v>3716</v>
      </c>
      <c r="CZ168" s="27">
        <v>395.54</v>
      </c>
      <c r="DA168" s="27">
        <v>131.85</v>
      </c>
      <c r="DB168" s="27">
        <v>20.51</v>
      </c>
      <c r="DC168" s="27">
        <v>34.57</v>
      </c>
      <c r="DD168" s="20">
        <v>43.95</v>
      </c>
      <c r="DE168" s="27">
        <v>19.920000000000002</v>
      </c>
      <c r="DF168" s="28">
        <v>646.34</v>
      </c>
      <c r="DG168" s="28">
        <v>2239.9</v>
      </c>
    </row>
    <row r="169" spans="2:111" s="31" customFormat="1" ht="14.5" x14ac:dyDescent="0.35">
      <c r="B169" s="20">
        <v>163</v>
      </c>
      <c r="C169" s="20" t="s">
        <v>187</v>
      </c>
      <c r="D169" s="20" t="s">
        <v>105</v>
      </c>
      <c r="E169" s="20" t="s">
        <v>291</v>
      </c>
      <c r="F169" s="20" t="s">
        <v>696</v>
      </c>
      <c r="G169" s="20" t="s">
        <v>120</v>
      </c>
      <c r="H169" s="20" t="s">
        <v>432</v>
      </c>
      <c r="I169" s="20" t="s">
        <v>58</v>
      </c>
      <c r="J169" s="20" t="s">
        <v>291</v>
      </c>
      <c r="K169" s="20" t="s">
        <v>59</v>
      </c>
      <c r="L169" s="21">
        <v>25433</v>
      </c>
      <c r="M169" s="20" t="s">
        <v>697</v>
      </c>
      <c r="N169" s="20" t="s">
        <v>327</v>
      </c>
      <c r="O169" s="20" t="s">
        <v>75</v>
      </c>
      <c r="P169" s="20" t="s">
        <v>512</v>
      </c>
      <c r="Q169" s="20" t="s">
        <v>513</v>
      </c>
      <c r="R169" s="20" t="s">
        <v>783</v>
      </c>
      <c r="S169" s="20" t="s">
        <v>106</v>
      </c>
      <c r="T169" s="20" t="s">
        <v>65</v>
      </c>
      <c r="U169" s="20" t="s">
        <v>73</v>
      </c>
      <c r="V169" s="20" t="s">
        <v>869</v>
      </c>
      <c r="W169" s="20" t="s">
        <v>891</v>
      </c>
      <c r="X169" s="20" t="s">
        <v>997</v>
      </c>
      <c r="Y169" s="20" t="s">
        <v>137</v>
      </c>
      <c r="Z169" s="20" t="s">
        <v>1529</v>
      </c>
      <c r="AA169" s="20" t="s">
        <v>1670</v>
      </c>
      <c r="AB169" s="21">
        <v>45019</v>
      </c>
      <c r="AC169" s="20"/>
      <c r="AD169" s="20"/>
      <c r="AE169" s="27"/>
      <c r="AF169" s="20"/>
      <c r="AG169" s="20"/>
      <c r="AH169" s="20"/>
      <c r="AI169" s="20">
        <v>30</v>
      </c>
      <c r="AJ169" s="20"/>
      <c r="AK169" s="20"/>
      <c r="AL169" s="20"/>
      <c r="AM169" s="20"/>
      <c r="AN169" s="20"/>
      <c r="AO169" s="20"/>
      <c r="AP169" s="20"/>
      <c r="AQ169" s="20" t="s">
        <v>1784</v>
      </c>
      <c r="AR169" s="20" t="s">
        <v>1784</v>
      </c>
      <c r="AS169" s="29">
        <v>11307</v>
      </c>
      <c r="AT169" s="63">
        <v>113</v>
      </c>
      <c r="AU169" s="27"/>
      <c r="AV169" s="20"/>
      <c r="AW169" s="20"/>
      <c r="AX169" s="20"/>
      <c r="AY169" s="20"/>
      <c r="AZ169" s="20"/>
      <c r="BA169" s="20"/>
      <c r="BB169" s="20"/>
      <c r="BC169" s="20">
        <v>11112.9</v>
      </c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7"/>
      <c r="BP169" s="20"/>
      <c r="BQ169" s="20"/>
      <c r="BR169" s="20"/>
      <c r="BS169" s="27">
        <v>48.03</v>
      </c>
      <c r="BT169" s="20"/>
      <c r="BU169" s="20"/>
      <c r="BV169" s="20"/>
      <c r="BW169" s="20"/>
      <c r="BX169" s="20"/>
      <c r="BY169" s="28">
        <v>11160.93</v>
      </c>
      <c r="BZ169" s="20"/>
      <c r="CA169" s="20"/>
      <c r="CB169" s="20"/>
      <c r="CC169" s="27">
        <v>36.479999999999997</v>
      </c>
      <c r="CD169" s="20"/>
      <c r="CE169" s="27">
        <v>1111.29</v>
      </c>
      <c r="CF169" s="20">
        <v>172.25</v>
      </c>
      <c r="CG169" s="27">
        <v>152.25</v>
      </c>
      <c r="CH169" s="20"/>
      <c r="CI169" s="20"/>
      <c r="CJ169" s="20"/>
      <c r="CK169" s="20"/>
      <c r="CL169" s="20"/>
      <c r="CM169" s="27"/>
      <c r="CN169" s="20"/>
      <c r="CO169" s="20"/>
      <c r="CP169" s="20"/>
      <c r="CQ169" s="20"/>
      <c r="CR169" s="27">
        <v>48.03</v>
      </c>
      <c r="CS169" s="20"/>
      <c r="CT169" s="20"/>
      <c r="CU169" s="20"/>
      <c r="CV169" s="20"/>
      <c r="CW169" s="20"/>
      <c r="CX169" s="20"/>
      <c r="CY169" s="28">
        <v>1520.3</v>
      </c>
      <c r="CZ169" s="27"/>
      <c r="DA169" s="27"/>
      <c r="DB169" s="27">
        <v>38.9</v>
      </c>
      <c r="DC169" s="27">
        <v>65.569999999999993</v>
      </c>
      <c r="DD169" s="20"/>
      <c r="DE169" s="27">
        <v>37.78</v>
      </c>
      <c r="DF169" s="28">
        <v>142.25</v>
      </c>
      <c r="DG169" s="28">
        <v>9640.6299999999992</v>
      </c>
    </row>
    <row r="170" spans="2:111" s="31" customFormat="1" ht="14.5" x14ac:dyDescent="0.35">
      <c r="B170" s="20">
        <v>85</v>
      </c>
      <c r="C170" s="20" t="s">
        <v>187</v>
      </c>
      <c r="D170" s="20" t="s">
        <v>105</v>
      </c>
      <c r="E170" s="20" t="s">
        <v>1340</v>
      </c>
      <c r="F170" s="20" t="s">
        <v>86</v>
      </c>
      <c r="G170" s="20" t="s">
        <v>1341</v>
      </c>
      <c r="H170" s="20" t="s">
        <v>1342</v>
      </c>
      <c r="I170" s="20" t="s">
        <v>58</v>
      </c>
      <c r="J170" s="20" t="s">
        <v>1340</v>
      </c>
      <c r="K170" s="20" t="s">
        <v>66</v>
      </c>
      <c r="L170" s="21">
        <v>35654</v>
      </c>
      <c r="M170" s="20" t="s">
        <v>1343</v>
      </c>
      <c r="N170" s="20" t="s">
        <v>129</v>
      </c>
      <c r="O170" s="20" t="s">
        <v>60</v>
      </c>
      <c r="P170" s="20" t="s">
        <v>346</v>
      </c>
      <c r="Q170" s="20" t="s">
        <v>347</v>
      </c>
      <c r="R170" s="20" t="s">
        <v>783</v>
      </c>
      <c r="S170" s="20" t="s">
        <v>787</v>
      </c>
      <c r="T170" s="20" t="s">
        <v>63</v>
      </c>
      <c r="U170" s="20" t="s">
        <v>64</v>
      </c>
      <c r="V170" s="20" t="s">
        <v>1344</v>
      </c>
      <c r="W170" s="20" t="s">
        <v>891</v>
      </c>
      <c r="X170" s="20" t="s">
        <v>1345</v>
      </c>
      <c r="Y170" s="20"/>
      <c r="Z170" s="20"/>
      <c r="AA170" s="20"/>
      <c r="AB170" s="21">
        <v>45810</v>
      </c>
      <c r="AC170" s="20"/>
      <c r="AD170" s="20"/>
      <c r="AE170" s="27">
        <v>30</v>
      </c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 t="s">
        <v>1784</v>
      </c>
      <c r="AR170" s="20" t="s">
        <v>1784</v>
      </c>
      <c r="AS170" s="29">
        <v>6300</v>
      </c>
      <c r="AT170" s="63"/>
      <c r="AU170" s="27">
        <v>6300</v>
      </c>
      <c r="AV170" s="20"/>
      <c r="AW170" s="20"/>
      <c r="AX170" s="20"/>
      <c r="AY170" s="20"/>
      <c r="AZ170" s="20"/>
      <c r="BA170" s="20"/>
      <c r="BB170" s="20"/>
      <c r="BC170" s="20"/>
      <c r="BD170" s="20"/>
      <c r="BE170" s="20">
        <v>450</v>
      </c>
      <c r="BF170" s="20"/>
      <c r="BG170" s="20"/>
      <c r="BH170" s="20"/>
      <c r="BI170" s="20"/>
      <c r="BJ170" s="20"/>
      <c r="BK170" s="20"/>
      <c r="BL170" s="20"/>
      <c r="BM170" s="20"/>
      <c r="BN170" s="20"/>
      <c r="BO170" s="27"/>
      <c r="BP170" s="20"/>
      <c r="BQ170" s="20"/>
      <c r="BR170" s="20"/>
      <c r="BS170" s="27">
        <v>96.06</v>
      </c>
      <c r="BT170" s="20"/>
      <c r="BU170" s="20">
        <v>2160</v>
      </c>
      <c r="BV170" s="20"/>
      <c r="BW170" s="20"/>
      <c r="BX170" s="20"/>
      <c r="BY170" s="28">
        <v>9006.06</v>
      </c>
      <c r="BZ170" s="20"/>
      <c r="CA170" s="20"/>
      <c r="CB170" s="20"/>
      <c r="CC170" s="27">
        <v>630.89</v>
      </c>
      <c r="CD170" s="20"/>
      <c r="CE170" s="27">
        <v>891</v>
      </c>
      <c r="CF170" s="20"/>
      <c r="CG170" s="27">
        <v>122.07</v>
      </c>
      <c r="CH170" s="20"/>
      <c r="CI170" s="20"/>
      <c r="CJ170" s="20"/>
      <c r="CK170" s="20"/>
      <c r="CL170" s="20"/>
      <c r="CM170" s="27"/>
      <c r="CN170" s="20"/>
      <c r="CO170" s="20"/>
      <c r="CP170" s="20"/>
      <c r="CQ170" s="20"/>
      <c r="CR170" s="27">
        <v>96.06</v>
      </c>
      <c r="CS170" s="20"/>
      <c r="CT170" s="20"/>
      <c r="CU170" s="20"/>
      <c r="CV170" s="20"/>
      <c r="CW170" s="20"/>
      <c r="CX170" s="20"/>
      <c r="CY170" s="28">
        <v>1740.02</v>
      </c>
      <c r="CZ170" s="27">
        <v>601.42999999999995</v>
      </c>
      <c r="DA170" s="27">
        <v>200.48</v>
      </c>
      <c r="DB170" s="27">
        <v>31.19</v>
      </c>
      <c r="DC170" s="27">
        <v>52.57</v>
      </c>
      <c r="DD170" s="20"/>
      <c r="DE170" s="27">
        <v>30.29</v>
      </c>
      <c r="DF170" s="28">
        <v>915.96</v>
      </c>
      <c r="DG170" s="28">
        <v>7266.04</v>
      </c>
    </row>
    <row r="171" spans="2:111" s="31" customFormat="1" ht="14.5" x14ac:dyDescent="0.35">
      <c r="B171" s="20">
        <v>68</v>
      </c>
      <c r="C171" s="20" t="s">
        <v>187</v>
      </c>
      <c r="D171" s="20" t="s">
        <v>105</v>
      </c>
      <c r="E171" s="20" t="s">
        <v>178</v>
      </c>
      <c r="F171" s="20" t="s">
        <v>179</v>
      </c>
      <c r="G171" s="20" t="s">
        <v>85</v>
      </c>
      <c r="H171" s="20" t="s">
        <v>180</v>
      </c>
      <c r="I171" s="20" t="s">
        <v>58</v>
      </c>
      <c r="J171" s="20" t="s">
        <v>178</v>
      </c>
      <c r="K171" s="20" t="s">
        <v>59</v>
      </c>
      <c r="L171" s="21">
        <v>36970</v>
      </c>
      <c r="M171" s="20" t="s">
        <v>1338</v>
      </c>
      <c r="N171" s="20" t="s">
        <v>129</v>
      </c>
      <c r="O171" s="20" t="s">
        <v>60</v>
      </c>
      <c r="P171" s="20" t="s">
        <v>489</v>
      </c>
      <c r="Q171" s="20" t="s">
        <v>490</v>
      </c>
      <c r="R171" s="20" t="s">
        <v>783</v>
      </c>
      <c r="S171" s="20" t="s">
        <v>787</v>
      </c>
      <c r="T171" s="20" t="s">
        <v>63</v>
      </c>
      <c r="U171" s="20" t="s">
        <v>64</v>
      </c>
      <c r="V171" s="20" t="s">
        <v>186</v>
      </c>
      <c r="W171" s="20" t="s">
        <v>893</v>
      </c>
      <c r="X171" s="20" t="s">
        <v>1370</v>
      </c>
      <c r="Y171" s="20"/>
      <c r="Z171" s="20"/>
      <c r="AA171" s="20"/>
      <c r="AB171" s="21">
        <v>45809</v>
      </c>
      <c r="AC171" s="20"/>
      <c r="AD171" s="20"/>
      <c r="AE171" s="27">
        <v>30</v>
      </c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 t="s">
        <v>1784</v>
      </c>
      <c r="AR171" s="20" t="s">
        <v>1784</v>
      </c>
      <c r="AS171" s="29">
        <v>3200</v>
      </c>
      <c r="AT171" s="63"/>
      <c r="AU171" s="27">
        <v>3200</v>
      </c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7"/>
      <c r="BP171" s="20"/>
      <c r="BQ171" s="20"/>
      <c r="BR171" s="20"/>
      <c r="BS171" s="27">
        <v>48.03</v>
      </c>
      <c r="BT171" s="20"/>
      <c r="BU171" s="20"/>
      <c r="BV171" s="20"/>
      <c r="BW171" s="20"/>
      <c r="BX171" s="20"/>
      <c r="BY171" s="28">
        <v>3248.03</v>
      </c>
      <c r="BZ171" s="20"/>
      <c r="CA171" s="20"/>
      <c r="CB171" s="20"/>
      <c r="CC171" s="27"/>
      <c r="CD171" s="20"/>
      <c r="CE171" s="27">
        <v>320</v>
      </c>
      <c r="CF171" s="20"/>
      <c r="CG171" s="27">
        <v>43.84</v>
      </c>
      <c r="CH171" s="20"/>
      <c r="CI171" s="20"/>
      <c r="CJ171" s="20"/>
      <c r="CK171" s="20"/>
      <c r="CL171" s="20"/>
      <c r="CM171" s="27"/>
      <c r="CN171" s="20"/>
      <c r="CO171" s="20"/>
      <c r="CP171" s="20"/>
      <c r="CQ171" s="20"/>
      <c r="CR171" s="27">
        <v>48.03</v>
      </c>
      <c r="CS171" s="20"/>
      <c r="CT171" s="20"/>
      <c r="CU171" s="20"/>
      <c r="CV171" s="20"/>
      <c r="CW171" s="20"/>
      <c r="CX171" s="20"/>
      <c r="CY171" s="28">
        <v>411.87</v>
      </c>
      <c r="CZ171" s="27">
        <v>216</v>
      </c>
      <c r="DA171" s="27">
        <v>72</v>
      </c>
      <c r="DB171" s="27">
        <v>11.2</v>
      </c>
      <c r="DC171" s="27">
        <v>18.88</v>
      </c>
      <c r="DD171" s="20"/>
      <c r="DE171" s="27">
        <v>10.88</v>
      </c>
      <c r="DF171" s="28">
        <v>328.96</v>
      </c>
      <c r="DG171" s="28">
        <v>2836.16</v>
      </c>
    </row>
    <row r="172" spans="2:111" s="31" customFormat="1" ht="14.5" x14ac:dyDescent="0.35">
      <c r="B172" s="20">
        <v>19</v>
      </c>
      <c r="C172" s="20" t="s">
        <v>187</v>
      </c>
      <c r="D172" s="20" t="s">
        <v>105</v>
      </c>
      <c r="E172" s="20" t="s">
        <v>1053</v>
      </c>
      <c r="F172" s="20" t="s">
        <v>1054</v>
      </c>
      <c r="G172" s="20" t="s">
        <v>1055</v>
      </c>
      <c r="H172" s="20" t="s">
        <v>1056</v>
      </c>
      <c r="I172" s="20" t="s">
        <v>58</v>
      </c>
      <c r="J172" s="20" t="s">
        <v>1053</v>
      </c>
      <c r="K172" s="20" t="s">
        <v>66</v>
      </c>
      <c r="L172" s="21">
        <v>35103</v>
      </c>
      <c r="M172" s="20" t="s">
        <v>1057</v>
      </c>
      <c r="N172" s="20" t="s">
        <v>132</v>
      </c>
      <c r="O172" s="20" t="s">
        <v>60</v>
      </c>
      <c r="P172" s="20" t="s">
        <v>389</v>
      </c>
      <c r="Q172" s="20" t="s">
        <v>390</v>
      </c>
      <c r="R172" s="20" t="s">
        <v>783</v>
      </c>
      <c r="S172" s="20" t="s">
        <v>782</v>
      </c>
      <c r="T172" s="20" t="s">
        <v>138</v>
      </c>
      <c r="U172" s="20" t="s">
        <v>64</v>
      </c>
      <c r="V172" s="20" t="s">
        <v>1058</v>
      </c>
      <c r="W172" s="20" t="s">
        <v>891</v>
      </c>
      <c r="X172" s="20" t="s">
        <v>1059</v>
      </c>
      <c r="Y172" s="20" t="s">
        <v>138</v>
      </c>
      <c r="Z172" s="20" t="s">
        <v>1529</v>
      </c>
      <c r="AA172" s="20" t="s">
        <v>1549</v>
      </c>
      <c r="AB172" s="21">
        <v>45663</v>
      </c>
      <c r="AC172" s="20"/>
      <c r="AD172" s="20"/>
      <c r="AE172" s="27">
        <v>30</v>
      </c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 t="s">
        <v>1784</v>
      </c>
      <c r="AR172" s="20" t="s">
        <v>1784</v>
      </c>
      <c r="AS172" s="29">
        <v>5460</v>
      </c>
      <c r="AT172" s="63"/>
      <c r="AU172" s="27">
        <v>5460</v>
      </c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7"/>
      <c r="BP172" s="20"/>
      <c r="BQ172" s="20"/>
      <c r="BR172" s="20"/>
      <c r="BS172" s="27">
        <v>48.03</v>
      </c>
      <c r="BT172" s="20"/>
      <c r="BU172" s="20">
        <v>1870.12</v>
      </c>
      <c r="BV172" s="20"/>
      <c r="BW172" s="20"/>
      <c r="BX172" s="20"/>
      <c r="BY172" s="28">
        <v>7378.15</v>
      </c>
      <c r="BZ172" s="20"/>
      <c r="CA172" s="20"/>
      <c r="CB172" s="20"/>
      <c r="CC172" s="27">
        <v>630.61</v>
      </c>
      <c r="CD172" s="20"/>
      <c r="CE172" s="27">
        <v>733.01</v>
      </c>
      <c r="CF172" s="20"/>
      <c r="CG172" s="27">
        <v>100.42</v>
      </c>
      <c r="CH172" s="20"/>
      <c r="CI172" s="20"/>
      <c r="CJ172" s="20"/>
      <c r="CK172" s="20"/>
      <c r="CL172" s="20"/>
      <c r="CM172" s="27"/>
      <c r="CN172" s="20"/>
      <c r="CO172" s="20"/>
      <c r="CP172" s="20"/>
      <c r="CQ172" s="20"/>
      <c r="CR172" s="27">
        <v>48.03</v>
      </c>
      <c r="CS172" s="20"/>
      <c r="CT172" s="20"/>
      <c r="CU172" s="20"/>
      <c r="CV172" s="20"/>
      <c r="CW172" s="20"/>
      <c r="CX172" s="20"/>
      <c r="CY172" s="28">
        <v>1512.07</v>
      </c>
      <c r="CZ172" s="27">
        <v>494.78</v>
      </c>
      <c r="DA172" s="27">
        <v>164.93</v>
      </c>
      <c r="DB172" s="27">
        <v>25.66</v>
      </c>
      <c r="DC172" s="27">
        <v>43.25</v>
      </c>
      <c r="DD172" s="20"/>
      <c r="DE172" s="27">
        <v>24.92</v>
      </c>
      <c r="DF172" s="28">
        <v>753.54</v>
      </c>
      <c r="DG172" s="28">
        <v>5866.08</v>
      </c>
    </row>
    <row r="173" spans="2:111" s="31" customFormat="1" ht="14.5" x14ac:dyDescent="0.35">
      <c r="B173" s="20">
        <v>100</v>
      </c>
      <c r="C173" s="20" t="s">
        <v>187</v>
      </c>
      <c r="D173" s="20" t="s">
        <v>105</v>
      </c>
      <c r="E173" s="20" t="s">
        <v>1474</v>
      </c>
      <c r="F173" s="20" t="s">
        <v>1475</v>
      </c>
      <c r="G173" s="20" t="s">
        <v>1476</v>
      </c>
      <c r="H173" s="20" t="s">
        <v>1477</v>
      </c>
      <c r="I173" s="20" t="s">
        <v>58</v>
      </c>
      <c r="J173" s="20" t="s">
        <v>1474</v>
      </c>
      <c r="K173" s="20" t="s">
        <v>66</v>
      </c>
      <c r="L173" s="21">
        <v>33788</v>
      </c>
      <c r="M173" s="20" t="s">
        <v>1478</v>
      </c>
      <c r="N173" s="20" t="s">
        <v>129</v>
      </c>
      <c r="O173" s="20" t="s">
        <v>60</v>
      </c>
      <c r="P173" s="20" t="s">
        <v>1440</v>
      </c>
      <c r="Q173" s="20" t="s">
        <v>1441</v>
      </c>
      <c r="R173" s="20" t="s">
        <v>783</v>
      </c>
      <c r="S173" s="20" t="s">
        <v>787</v>
      </c>
      <c r="T173" s="20" t="s">
        <v>65</v>
      </c>
      <c r="U173" s="20" t="s">
        <v>73</v>
      </c>
      <c r="V173" s="20" t="s">
        <v>1524</v>
      </c>
      <c r="W173" s="20" t="s">
        <v>891</v>
      </c>
      <c r="X173" s="20" t="s">
        <v>1479</v>
      </c>
      <c r="Y173" s="20"/>
      <c r="Z173" s="20"/>
      <c r="AA173" s="20"/>
      <c r="AB173" s="21">
        <v>45870</v>
      </c>
      <c r="AC173" s="20"/>
      <c r="AD173" s="20"/>
      <c r="AE173" s="27">
        <v>27</v>
      </c>
      <c r="AF173" s="20"/>
      <c r="AG173" s="20">
        <v>3</v>
      </c>
      <c r="AH173" s="20"/>
      <c r="AI173" s="20"/>
      <c r="AJ173" s="20"/>
      <c r="AK173" s="20"/>
      <c r="AL173" s="20"/>
      <c r="AM173" s="20"/>
      <c r="AN173" s="20"/>
      <c r="AO173" s="20"/>
      <c r="AP173" s="20"/>
      <c r="AQ173" s="20" t="s">
        <v>1784</v>
      </c>
      <c r="AR173" s="20" t="s">
        <v>1784</v>
      </c>
      <c r="AS173" s="29">
        <v>6300</v>
      </c>
      <c r="AT173" s="63"/>
      <c r="AU173" s="27">
        <v>5670</v>
      </c>
      <c r="AV173" s="20"/>
      <c r="AW173" s="20"/>
      <c r="AX173" s="20"/>
      <c r="AY173" s="20"/>
      <c r="AZ173" s="20">
        <v>630</v>
      </c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7"/>
      <c r="BP173" s="20"/>
      <c r="BQ173" s="20"/>
      <c r="BR173" s="20"/>
      <c r="BS173" s="27">
        <v>48.03</v>
      </c>
      <c r="BT173" s="20"/>
      <c r="BU173" s="20">
        <v>2700</v>
      </c>
      <c r="BV173" s="20"/>
      <c r="BW173" s="20"/>
      <c r="BX173" s="20"/>
      <c r="BY173" s="28">
        <v>9048.0300000000007</v>
      </c>
      <c r="BZ173" s="20"/>
      <c r="CA173" s="20"/>
      <c r="CB173" s="20"/>
      <c r="CC173" s="27">
        <v>242.59</v>
      </c>
      <c r="CD173" s="20"/>
      <c r="CE173" s="27">
        <v>900</v>
      </c>
      <c r="CF173" s="20"/>
      <c r="CG173" s="27">
        <v>123.3</v>
      </c>
      <c r="CH173" s="20"/>
      <c r="CI173" s="20"/>
      <c r="CJ173" s="20"/>
      <c r="CK173" s="20"/>
      <c r="CL173" s="20"/>
      <c r="CM173" s="27"/>
      <c r="CN173" s="20"/>
      <c r="CO173" s="20"/>
      <c r="CP173" s="20"/>
      <c r="CQ173" s="20"/>
      <c r="CR173" s="27">
        <v>48.03</v>
      </c>
      <c r="CS173" s="20"/>
      <c r="CT173" s="20"/>
      <c r="CU173" s="20"/>
      <c r="CV173" s="20"/>
      <c r="CW173" s="20"/>
      <c r="CX173" s="20"/>
      <c r="CY173" s="28">
        <v>1313.92</v>
      </c>
      <c r="CZ173" s="27">
        <v>607.5</v>
      </c>
      <c r="DA173" s="27">
        <v>202.5</v>
      </c>
      <c r="DB173" s="27">
        <v>31.5</v>
      </c>
      <c r="DC173" s="27">
        <v>53.1</v>
      </c>
      <c r="DD173" s="20"/>
      <c r="DE173" s="27">
        <v>30.6</v>
      </c>
      <c r="DF173" s="28">
        <v>925.2</v>
      </c>
      <c r="DG173" s="28">
        <v>7734.11</v>
      </c>
    </row>
    <row r="174" spans="2:111" s="31" customFormat="1" ht="14.5" x14ac:dyDescent="0.35">
      <c r="B174" s="20">
        <v>168</v>
      </c>
      <c r="C174" s="20" t="s">
        <v>187</v>
      </c>
      <c r="D174" s="20" t="s">
        <v>105</v>
      </c>
      <c r="E174" s="20" t="s">
        <v>292</v>
      </c>
      <c r="F174" s="20" t="s">
        <v>699</v>
      </c>
      <c r="G174" s="20" t="s">
        <v>700</v>
      </c>
      <c r="H174" s="20" t="s">
        <v>701</v>
      </c>
      <c r="I174" s="20" t="s">
        <v>58</v>
      </c>
      <c r="J174" s="20" t="s">
        <v>292</v>
      </c>
      <c r="K174" s="20" t="s">
        <v>66</v>
      </c>
      <c r="L174" s="21">
        <v>36152</v>
      </c>
      <c r="M174" s="20" t="s">
        <v>502</v>
      </c>
      <c r="N174" s="20" t="s">
        <v>327</v>
      </c>
      <c r="O174" s="20" t="s">
        <v>67</v>
      </c>
      <c r="P174" s="20" t="s">
        <v>358</v>
      </c>
      <c r="Q174" s="20" t="s">
        <v>359</v>
      </c>
      <c r="R174" s="20" t="s">
        <v>783</v>
      </c>
      <c r="S174" s="20" t="s">
        <v>106</v>
      </c>
      <c r="T174" s="20" t="s">
        <v>65</v>
      </c>
      <c r="U174" s="20" t="s">
        <v>73</v>
      </c>
      <c r="V174" s="20" t="s">
        <v>1352</v>
      </c>
      <c r="W174" s="20" t="s">
        <v>891</v>
      </c>
      <c r="X174" s="20" t="s">
        <v>998</v>
      </c>
      <c r="Y174" s="20" t="s">
        <v>65</v>
      </c>
      <c r="Z174" s="20" t="s">
        <v>1529</v>
      </c>
      <c r="AA174" s="20" t="s">
        <v>1672</v>
      </c>
      <c r="AB174" s="21">
        <v>44774</v>
      </c>
      <c r="AC174" s="20"/>
      <c r="AD174" s="20"/>
      <c r="AE174" s="27">
        <v>30</v>
      </c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 t="s">
        <v>1784</v>
      </c>
      <c r="AR174" s="20" t="s">
        <v>1784</v>
      </c>
      <c r="AS174" s="29">
        <v>4150</v>
      </c>
      <c r="AT174" s="63"/>
      <c r="AU174" s="27">
        <v>4150</v>
      </c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7">
        <v>241.5</v>
      </c>
      <c r="BP174" s="20"/>
      <c r="BQ174" s="20"/>
      <c r="BR174" s="20"/>
      <c r="BS174" s="27">
        <v>48.03</v>
      </c>
      <c r="BT174" s="20"/>
      <c r="BU174" s="20"/>
      <c r="BV174" s="20"/>
      <c r="BW174" s="20"/>
      <c r="BX174" s="20"/>
      <c r="BY174" s="28">
        <v>4439.53</v>
      </c>
      <c r="BZ174" s="20"/>
      <c r="CA174" s="20"/>
      <c r="CB174" s="20"/>
      <c r="CC174" s="27">
        <v>175.89</v>
      </c>
      <c r="CD174" s="20"/>
      <c r="CE174" s="27">
        <v>439.15</v>
      </c>
      <c r="CF174" s="20"/>
      <c r="CG174" s="27">
        <v>60.16</v>
      </c>
      <c r="CH174" s="20"/>
      <c r="CI174" s="20"/>
      <c r="CJ174" s="20"/>
      <c r="CK174" s="20"/>
      <c r="CL174" s="20"/>
      <c r="CM174" s="27">
        <v>241.5</v>
      </c>
      <c r="CN174" s="20"/>
      <c r="CO174" s="20"/>
      <c r="CP174" s="20"/>
      <c r="CQ174" s="20"/>
      <c r="CR174" s="27">
        <v>48.03</v>
      </c>
      <c r="CS174" s="20"/>
      <c r="CT174" s="20"/>
      <c r="CU174" s="20"/>
      <c r="CV174" s="20"/>
      <c r="CW174" s="20"/>
      <c r="CX174" s="20"/>
      <c r="CY174" s="28">
        <v>964.73</v>
      </c>
      <c r="CZ174" s="27">
        <v>296.43</v>
      </c>
      <c r="DA174" s="27">
        <v>98.81</v>
      </c>
      <c r="DB174" s="27">
        <v>15.37</v>
      </c>
      <c r="DC174" s="27">
        <v>25.91</v>
      </c>
      <c r="DD174" s="20">
        <v>32.94</v>
      </c>
      <c r="DE174" s="27">
        <v>14.93</v>
      </c>
      <c r="DF174" s="28">
        <v>484.39</v>
      </c>
      <c r="DG174" s="28">
        <v>3474.8</v>
      </c>
    </row>
    <row r="175" spans="2:111" s="31" customFormat="1" ht="14.5" x14ac:dyDescent="0.35">
      <c r="B175" s="20">
        <v>169</v>
      </c>
      <c r="C175" s="20" t="s">
        <v>187</v>
      </c>
      <c r="D175" s="20" t="s">
        <v>105</v>
      </c>
      <c r="E175" s="20" t="s">
        <v>293</v>
      </c>
      <c r="F175" s="20" t="s">
        <v>702</v>
      </c>
      <c r="G175" s="20" t="s">
        <v>703</v>
      </c>
      <c r="H175" s="20" t="s">
        <v>116</v>
      </c>
      <c r="I175" s="20" t="s">
        <v>58</v>
      </c>
      <c r="J175" s="20" t="s">
        <v>293</v>
      </c>
      <c r="K175" s="20" t="s">
        <v>59</v>
      </c>
      <c r="L175" s="21">
        <v>35541</v>
      </c>
      <c r="M175" s="20" t="s">
        <v>704</v>
      </c>
      <c r="N175" s="20" t="s">
        <v>129</v>
      </c>
      <c r="O175" s="20" t="s">
        <v>60</v>
      </c>
      <c r="P175" s="20" t="s">
        <v>389</v>
      </c>
      <c r="Q175" s="20" t="s">
        <v>390</v>
      </c>
      <c r="R175" s="20" t="s">
        <v>783</v>
      </c>
      <c r="S175" s="20" t="s">
        <v>782</v>
      </c>
      <c r="T175" s="20" t="s">
        <v>137</v>
      </c>
      <c r="U175" s="20" t="s">
        <v>64</v>
      </c>
      <c r="V175" s="20" t="s">
        <v>870</v>
      </c>
      <c r="W175" s="20" t="s">
        <v>898</v>
      </c>
      <c r="X175" s="20" t="s">
        <v>999</v>
      </c>
      <c r="Y175" s="20" t="s">
        <v>137</v>
      </c>
      <c r="Z175" s="20" t="s">
        <v>1529</v>
      </c>
      <c r="AA175" s="20" t="s">
        <v>1673</v>
      </c>
      <c r="AB175" s="21">
        <v>45444</v>
      </c>
      <c r="AC175" s="20"/>
      <c r="AD175" s="20"/>
      <c r="AE175" s="27">
        <v>30</v>
      </c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 t="s">
        <v>1784</v>
      </c>
      <c r="AR175" s="20" t="s">
        <v>1784</v>
      </c>
      <c r="AS175" s="29">
        <v>10400</v>
      </c>
      <c r="AT175" s="63"/>
      <c r="AU175" s="27">
        <v>10400</v>
      </c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7"/>
      <c r="BP175" s="20"/>
      <c r="BQ175" s="20"/>
      <c r="BR175" s="20"/>
      <c r="BS175" s="27">
        <v>48.03</v>
      </c>
      <c r="BT175" s="20"/>
      <c r="BU175" s="20">
        <v>2472.88</v>
      </c>
      <c r="BV175" s="20"/>
      <c r="BW175" s="20"/>
      <c r="BX175" s="20"/>
      <c r="BY175" s="28">
        <v>12920.91</v>
      </c>
      <c r="BZ175" s="20"/>
      <c r="CA175" s="20"/>
      <c r="CB175" s="20"/>
      <c r="CC175" s="27">
        <v>1678.52</v>
      </c>
      <c r="CD175" s="20"/>
      <c r="CE175" s="27">
        <v>1287.29</v>
      </c>
      <c r="CF175" s="20"/>
      <c r="CG175" s="27">
        <v>166.93</v>
      </c>
      <c r="CH175" s="20"/>
      <c r="CI175" s="20">
        <v>130.22</v>
      </c>
      <c r="CJ175" s="20"/>
      <c r="CK175" s="20"/>
      <c r="CL175" s="20"/>
      <c r="CM175" s="27"/>
      <c r="CN175" s="20"/>
      <c r="CO175" s="20"/>
      <c r="CP175" s="20"/>
      <c r="CQ175" s="20"/>
      <c r="CR175" s="27">
        <v>48.03</v>
      </c>
      <c r="CS175" s="20"/>
      <c r="CT175" s="20"/>
      <c r="CU175" s="20"/>
      <c r="CV175" s="20"/>
      <c r="CW175" s="20"/>
      <c r="CX175" s="20"/>
      <c r="CY175" s="28">
        <v>3310.99</v>
      </c>
      <c r="CZ175" s="27">
        <v>868.92</v>
      </c>
      <c r="DA175" s="27">
        <v>289.64</v>
      </c>
      <c r="DB175" s="27">
        <v>42.65</v>
      </c>
      <c r="DC175" s="27">
        <v>75.95</v>
      </c>
      <c r="DD175" s="20"/>
      <c r="DE175" s="27">
        <v>41.43</v>
      </c>
      <c r="DF175" s="28">
        <v>1318.59</v>
      </c>
      <c r="DG175" s="28">
        <v>9609.92</v>
      </c>
    </row>
    <row r="176" spans="2:111" s="33" customFormat="1" ht="14.5" x14ac:dyDescent="0.35">
      <c r="B176" s="20">
        <v>91</v>
      </c>
      <c r="C176" s="20" t="s">
        <v>187</v>
      </c>
      <c r="D176" s="20" t="s">
        <v>105</v>
      </c>
      <c r="E176" s="20" t="s">
        <v>249</v>
      </c>
      <c r="F176" s="20" t="s">
        <v>546</v>
      </c>
      <c r="G176" s="20" t="s">
        <v>567</v>
      </c>
      <c r="H176" s="20" t="s">
        <v>568</v>
      </c>
      <c r="I176" s="20" t="s">
        <v>58</v>
      </c>
      <c r="J176" s="20" t="s">
        <v>249</v>
      </c>
      <c r="K176" s="20" t="s">
        <v>59</v>
      </c>
      <c r="L176" s="21">
        <v>34947</v>
      </c>
      <c r="M176" s="20" t="s">
        <v>1739</v>
      </c>
      <c r="N176" s="20" t="s">
        <v>129</v>
      </c>
      <c r="O176" s="20" t="s">
        <v>60</v>
      </c>
      <c r="P176" s="20" t="s">
        <v>489</v>
      </c>
      <c r="Q176" s="20" t="s">
        <v>490</v>
      </c>
      <c r="R176" s="20" t="s">
        <v>783</v>
      </c>
      <c r="S176" s="20" t="s">
        <v>787</v>
      </c>
      <c r="T176" s="20" t="s">
        <v>63</v>
      </c>
      <c r="U176" s="20" t="s">
        <v>64</v>
      </c>
      <c r="V176" s="20" t="s">
        <v>836</v>
      </c>
      <c r="W176" s="20" t="s">
        <v>891</v>
      </c>
      <c r="X176" s="20" t="s">
        <v>956</v>
      </c>
      <c r="Y176" s="20" t="s">
        <v>1566</v>
      </c>
      <c r="Z176" s="20" t="s">
        <v>1529</v>
      </c>
      <c r="AA176" s="20" t="s">
        <v>1612</v>
      </c>
      <c r="AB176" s="21">
        <v>45497</v>
      </c>
      <c r="AC176" s="20"/>
      <c r="AD176" s="20"/>
      <c r="AE176" s="27">
        <v>23</v>
      </c>
      <c r="AF176" s="20"/>
      <c r="AG176" s="20">
        <v>7</v>
      </c>
      <c r="AH176" s="20"/>
      <c r="AI176" s="20"/>
      <c r="AJ176" s="20"/>
      <c r="AK176" s="20"/>
      <c r="AL176" s="20"/>
      <c r="AM176" s="20"/>
      <c r="AN176" s="20"/>
      <c r="AO176" s="20"/>
      <c r="AP176" s="20">
        <v>1</v>
      </c>
      <c r="AQ176" s="20" t="s">
        <v>1784</v>
      </c>
      <c r="AR176" s="20" t="s">
        <v>1784</v>
      </c>
      <c r="AS176" s="29">
        <v>11495</v>
      </c>
      <c r="AT176" s="63"/>
      <c r="AU176" s="27">
        <v>8812.83</v>
      </c>
      <c r="AV176" s="20"/>
      <c r="AW176" s="20"/>
      <c r="AX176" s="20"/>
      <c r="AY176" s="20"/>
      <c r="AZ176" s="20">
        <v>3491.56</v>
      </c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>
        <v>766.33</v>
      </c>
      <c r="BO176" s="27"/>
      <c r="BP176" s="20"/>
      <c r="BQ176" s="20"/>
      <c r="BR176" s="20"/>
      <c r="BS176" s="27">
        <v>48.03</v>
      </c>
      <c r="BT176" s="20">
        <v>100</v>
      </c>
      <c r="BU176" s="20"/>
      <c r="BV176" s="20"/>
      <c r="BW176" s="20"/>
      <c r="BX176" s="20"/>
      <c r="BY176" s="28">
        <v>13218.75</v>
      </c>
      <c r="BZ176" s="20"/>
      <c r="CA176" s="20"/>
      <c r="CB176" s="20"/>
      <c r="CC176" s="27">
        <v>1848.36</v>
      </c>
      <c r="CD176" s="20"/>
      <c r="CE176" s="27">
        <v>1307.07</v>
      </c>
      <c r="CF176" s="20"/>
      <c r="CG176" s="27">
        <v>166.93</v>
      </c>
      <c r="CH176" s="20"/>
      <c r="CI176" s="20"/>
      <c r="CJ176" s="20"/>
      <c r="CK176" s="20"/>
      <c r="CL176" s="20"/>
      <c r="CM176" s="27"/>
      <c r="CN176" s="20"/>
      <c r="CO176" s="20"/>
      <c r="CP176" s="20"/>
      <c r="CQ176" s="20"/>
      <c r="CR176" s="27">
        <v>48.03</v>
      </c>
      <c r="CS176" s="20"/>
      <c r="CT176" s="20"/>
      <c r="CU176" s="20"/>
      <c r="CV176" s="20">
        <v>100</v>
      </c>
      <c r="CW176" s="20"/>
      <c r="CX176" s="20"/>
      <c r="CY176" s="28">
        <v>3470.39</v>
      </c>
      <c r="CZ176" s="27">
        <v>882.27</v>
      </c>
      <c r="DA176" s="27">
        <v>294.08999999999997</v>
      </c>
      <c r="DB176" s="27">
        <v>42.65</v>
      </c>
      <c r="DC176" s="27">
        <v>77.12</v>
      </c>
      <c r="DD176" s="20"/>
      <c r="DE176" s="27">
        <v>41.43</v>
      </c>
      <c r="DF176" s="28">
        <v>1337.56</v>
      </c>
      <c r="DG176" s="28">
        <v>9748.36</v>
      </c>
    </row>
    <row r="177" spans="1:111" s="31" customFormat="1" ht="14.5" x14ac:dyDescent="0.35">
      <c r="B177" s="20">
        <v>171</v>
      </c>
      <c r="C177" s="20" t="s">
        <v>187</v>
      </c>
      <c r="D177" s="20" t="s">
        <v>105</v>
      </c>
      <c r="E177" s="20" t="s">
        <v>295</v>
      </c>
      <c r="F177" s="20" t="s">
        <v>708</v>
      </c>
      <c r="G177" s="20" t="s">
        <v>709</v>
      </c>
      <c r="H177" s="20" t="s">
        <v>710</v>
      </c>
      <c r="I177" s="20" t="s">
        <v>58</v>
      </c>
      <c r="J177" s="20" t="s">
        <v>295</v>
      </c>
      <c r="K177" s="20" t="s">
        <v>66</v>
      </c>
      <c r="L177" s="21">
        <v>34343</v>
      </c>
      <c r="M177" s="20" t="s">
        <v>543</v>
      </c>
      <c r="N177" s="20" t="s">
        <v>132</v>
      </c>
      <c r="O177" s="20" t="s">
        <v>70</v>
      </c>
      <c r="P177" s="20" t="s">
        <v>71</v>
      </c>
      <c r="Q177" s="20" t="s">
        <v>72</v>
      </c>
      <c r="R177" s="20" t="s">
        <v>783</v>
      </c>
      <c r="S177" s="20" t="s">
        <v>782</v>
      </c>
      <c r="T177" s="20" t="s">
        <v>63</v>
      </c>
      <c r="U177" s="20" t="s">
        <v>64</v>
      </c>
      <c r="V177" s="20" t="s">
        <v>872</v>
      </c>
      <c r="W177" s="20" t="s">
        <v>896</v>
      </c>
      <c r="X177" s="20" t="s">
        <v>1001</v>
      </c>
      <c r="Y177" s="20" t="s">
        <v>1675</v>
      </c>
      <c r="Z177" s="20" t="s">
        <v>1529</v>
      </c>
      <c r="AA177" s="20" t="s">
        <v>1676</v>
      </c>
      <c r="AB177" s="21">
        <v>45264</v>
      </c>
      <c r="AC177" s="20"/>
      <c r="AD177" s="20"/>
      <c r="AE177" s="27">
        <v>30</v>
      </c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 t="s">
        <v>1784</v>
      </c>
      <c r="AR177" s="20" t="s">
        <v>1784</v>
      </c>
      <c r="AS177" s="29">
        <v>7904</v>
      </c>
      <c r="AT177" s="63"/>
      <c r="AU177" s="27">
        <v>7904</v>
      </c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7"/>
      <c r="BP177" s="20"/>
      <c r="BQ177" s="20"/>
      <c r="BR177" s="20"/>
      <c r="BS177" s="27">
        <v>48.03</v>
      </c>
      <c r="BT177" s="20"/>
      <c r="BU177" s="20"/>
      <c r="BV177" s="20"/>
      <c r="BW177" s="20"/>
      <c r="BX177" s="20"/>
      <c r="BY177" s="28">
        <v>7952.03</v>
      </c>
      <c r="BZ177" s="20"/>
      <c r="CA177" s="20"/>
      <c r="CB177" s="20"/>
      <c r="CC177" s="27">
        <v>743.03</v>
      </c>
      <c r="CD177" s="20"/>
      <c r="CE177" s="27">
        <v>790.4</v>
      </c>
      <c r="CF177" s="20"/>
      <c r="CG177" s="27">
        <v>108.28</v>
      </c>
      <c r="CH177" s="20"/>
      <c r="CI177" s="20">
        <v>39.1</v>
      </c>
      <c r="CJ177" s="20"/>
      <c r="CK177" s="20"/>
      <c r="CL177" s="20"/>
      <c r="CM177" s="27"/>
      <c r="CN177" s="20"/>
      <c r="CO177" s="20"/>
      <c r="CP177" s="20"/>
      <c r="CQ177" s="20"/>
      <c r="CR177" s="27">
        <v>48.03</v>
      </c>
      <c r="CS177" s="20"/>
      <c r="CT177" s="20"/>
      <c r="CU177" s="20"/>
      <c r="CV177" s="20"/>
      <c r="CW177" s="20"/>
      <c r="CX177" s="20"/>
      <c r="CY177" s="28">
        <v>1728.84</v>
      </c>
      <c r="CZ177" s="27">
        <v>533.52</v>
      </c>
      <c r="DA177" s="27">
        <v>177.84</v>
      </c>
      <c r="DB177" s="27">
        <v>27.66</v>
      </c>
      <c r="DC177" s="27">
        <v>46.63</v>
      </c>
      <c r="DD177" s="20"/>
      <c r="DE177" s="27">
        <v>26.87</v>
      </c>
      <c r="DF177" s="28">
        <v>812.52</v>
      </c>
      <c r="DG177" s="28">
        <v>6223.19</v>
      </c>
    </row>
    <row r="178" spans="1:111" s="33" customFormat="1" ht="14.5" x14ac:dyDescent="0.35">
      <c r="A178" s="33" t="s">
        <v>1801</v>
      </c>
      <c r="B178" s="20">
        <v>56</v>
      </c>
      <c r="C178" s="20" t="s">
        <v>187</v>
      </c>
      <c r="D178" s="20" t="s">
        <v>109</v>
      </c>
      <c r="E178" s="20" t="s">
        <v>229</v>
      </c>
      <c r="F178" s="20" t="s">
        <v>498</v>
      </c>
      <c r="G178" s="20" t="s">
        <v>499</v>
      </c>
      <c r="H178" s="20" t="s">
        <v>500</v>
      </c>
      <c r="I178" s="20" t="s">
        <v>58</v>
      </c>
      <c r="J178" s="20" t="s">
        <v>229</v>
      </c>
      <c r="K178" s="20" t="s">
        <v>59</v>
      </c>
      <c r="L178" s="21">
        <v>28453</v>
      </c>
      <c r="M178" s="20" t="s">
        <v>501</v>
      </c>
      <c r="N178" s="20" t="s">
        <v>327</v>
      </c>
      <c r="O178" s="20" t="s">
        <v>67</v>
      </c>
      <c r="P178" s="20" t="s">
        <v>454</v>
      </c>
      <c r="Q178" s="20" t="s">
        <v>455</v>
      </c>
      <c r="R178" s="20" t="s">
        <v>779</v>
      </c>
      <c r="S178" s="20" t="s">
        <v>780</v>
      </c>
      <c r="T178" s="20" t="s">
        <v>63</v>
      </c>
      <c r="U178" s="20" t="s">
        <v>64</v>
      </c>
      <c r="V178" s="20" t="s">
        <v>818</v>
      </c>
      <c r="W178" s="20" t="s">
        <v>893</v>
      </c>
      <c r="X178" s="20" t="s">
        <v>936</v>
      </c>
      <c r="Y178" s="20" t="s">
        <v>1560</v>
      </c>
      <c r="Z178" s="20" t="s">
        <v>1529</v>
      </c>
      <c r="AA178" s="20" t="s">
        <v>1587</v>
      </c>
      <c r="AB178" s="21">
        <v>44236</v>
      </c>
      <c r="AC178" s="20"/>
      <c r="AD178" s="20"/>
      <c r="AE178" s="27">
        <v>7</v>
      </c>
      <c r="AF178" s="20"/>
      <c r="AG178" s="20">
        <v>23</v>
      </c>
      <c r="AH178" s="20"/>
      <c r="AI178" s="20"/>
      <c r="AJ178" s="20"/>
      <c r="AK178" s="20"/>
      <c r="AL178" s="20">
        <v>4</v>
      </c>
      <c r="AM178" s="20">
        <v>7</v>
      </c>
      <c r="AN178" s="20"/>
      <c r="AO178" s="20"/>
      <c r="AP178" s="20"/>
      <c r="AQ178" s="20">
        <v>48</v>
      </c>
      <c r="AR178" s="20">
        <v>48</v>
      </c>
      <c r="AS178" s="29">
        <v>4038</v>
      </c>
      <c r="AT178" s="63">
        <v>113</v>
      </c>
      <c r="AU178" s="27">
        <v>942.2</v>
      </c>
      <c r="AV178" s="20">
        <v>113</v>
      </c>
      <c r="AW178" s="20">
        <v>86.48</v>
      </c>
      <c r="AX178" s="20">
        <v>163.44999999999999</v>
      </c>
      <c r="AY178" s="20"/>
      <c r="AZ178" s="20">
        <v>5128.6000000000004</v>
      </c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7">
        <v>292.60000000000002</v>
      </c>
      <c r="BP178" s="20"/>
      <c r="BQ178" s="20"/>
      <c r="BR178" s="20"/>
      <c r="BS178" s="27">
        <v>96.07</v>
      </c>
      <c r="BT178" s="20"/>
      <c r="BU178" s="20"/>
      <c r="BV178" s="20">
        <v>444.18</v>
      </c>
      <c r="BW178" s="20">
        <v>121.14</v>
      </c>
      <c r="BX178" s="20"/>
      <c r="BY178" s="28">
        <v>7387.72</v>
      </c>
      <c r="BZ178" s="20"/>
      <c r="CA178" s="20"/>
      <c r="CB178" s="20"/>
      <c r="CC178" s="27">
        <v>549.70000000000005</v>
      </c>
      <c r="CD178" s="20"/>
      <c r="CE178" s="27">
        <v>729.17</v>
      </c>
      <c r="CF178" s="20"/>
      <c r="CG178" s="27">
        <v>99.9</v>
      </c>
      <c r="CH178" s="20">
        <v>4936.16</v>
      </c>
      <c r="CI178" s="20"/>
      <c r="CJ178" s="20"/>
      <c r="CK178" s="20"/>
      <c r="CL178" s="20"/>
      <c r="CM178" s="27">
        <v>292.60000000000002</v>
      </c>
      <c r="CN178" s="20"/>
      <c r="CO178" s="20"/>
      <c r="CP178" s="20"/>
      <c r="CQ178" s="20"/>
      <c r="CR178" s="27">
        <v>96.07</v>
      </c>
      <c r="CS178" s="20"/>
      <c r="CT178" s="20"/>
      <c r="CU178" s="20"/>
      <c r="CV178" s="20"/>
      <c r="CW178" s="20"/>
      <c r="CX178" s="20"/>
      <c r="CY178" s="28">
        <v>6703.6</v>
      </c>
      <c r="CZ178" s="27">
        <v>492.19</v>
      </c>
      <c r="DA178" s="27">
        <v>164.06</v>
      </c>
      <c r="DB178" s="27">
        <v>25.52</v>
      </c>
      <c r="DC178" s="27">
        <v>43.02</v>
      </c>
      <c r="DD178" s="20">
        <v>54.69</v>
      </c>
      <c r="DE178" s="27">
        <v>24.79</v>
      </c>
      <c r="DF178" s="28">
        <v>804.27</v>
      </c>
      <c r="DG178" s="28">
        <v>684.12</v>
      </c>
    </row>
    <row r="179" spans="1:111" s="31" customFormat="1" ht="14.5" x14ac:dyDescent="0.35">
      <c r="B179" s="20">
        <v>97</v>
      </c>
      <c r="C179" s="20" t="s">
        <v>187</v>
      </c>
      <c r="D179" s="20" t="s">
        <v>109</v>
      </c>
      <c r="E179" s="20" t="s">
        <v>254</v>
      </c>
      <c r="F179" s="20" t="s">
        <v>580</v>
      </c>
      <c r="G179" s="20" t="s">
        <v>581</v>
      </c>
      <c r="H179" s="20" t="s">
        <v>582</v>
      </c>
      <c r="I179" s="20" t="s">
        <v>58</v>
      </c>
      <c r="J179" s="20" t="s">
        <v>254</v>
      </c>
      <c r="K179" s="20" t="s">
        <v>59</v>
      </c>
      <c r="L179" s="21">
        <v>22722</v>
      </c>
      <c r="M179" s="20" t="s">
        <v>501</v>
      </c>
      <c r="N179" s="20" t="s">
        <v>327</v>
      </c>
      <c r="O179" s="20" t="s">
        <v>67</v>
      </c>
      <c r="P179" s="20" t="s">
        <v>454</v>
      </c>
      <c r="Q179" s="20" t="s">
        <v>455</v>
      </c>
      <c r="R179" s="20" t="s">
        <v>779</v>
      </c>
      <c r="S179" s="20" t="s">
        <v>780</v>
      </c>
      <c r="T179" s="20" t="s">
        <v>137</v>
      </c>
      <c r="U179" s="20" t="s">
        <v>64</v>
      </c>
      <c r="V179" s="20" t="s">
        <v>840</v>
      </c>
      <c r="W179" s="20" t="s">
        <v>893</v>
      </c>
      <c r="X179" s="20" t="s">
        <v>959</v>
      </c>
      <c r="Y179" s="20" t="s">
        <v>1560</v>
      </c>
      <c r="Z179" s="20" t="s">
        <v>1529</v>
      </c>
      <c r="AA179" s="20" t="s">
        <v>1618</v>
      </c>
      <c r="AB179" s="21">
        <v>44256</v>
      </c>
      <c r="AC179" s="20"/>
      <c r="AD179" s="20"/>
      <c r="AE179" s="27">
        <v>30</v>
      </c>
      <c r="AF179" s="20"/>
      <c r="AG179" s="20"/>
      <c r="AH179" s="20"/>
      <c r="AI179" s="20"/>
      <c r="AJ179" s="20"/>
      <c r="AK179" s="20"/>
      <c r="AL179" s="20">
        <v>6</v>
      </c>
      <c r="AM179" s="20">
        <v>14</v>
      </c>
      <c r="AN179" s="20"/>
      <c r="AO179" s="20">
        <v>12</v>
      </c>
      <c r="AP179" s="20"/>
      <c r="AQ179" s="20">
        <v>52</v>
      </c>
      <c r="AR179" s="20">
        <v>64</v>
      </c>
      <c r="AS179" s="29">
        <v>4038</v>
      </c>
      <c r="AT179" s="63">
        <v>113</v>
      </c>
      <c r="AU179" s="27">
        <v>4038</v>
      </c>
      <c r="AV179" s="20">
        <v>113</v>
      </c>
      <c r="AW179" s="20">
        <v>129.72</v>
      </c>
      <c r="AX179" s="20">
        <v>326.89999999999998</v>
      </c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>
        <v>415.11</v>
      </c>
      <c r="BM179" s="20"/>
      <c r="BN179" s="20"/>
      <c r="BO179" s="27">
        <v>415.6</v>
      </c>
      <c r="BP179" s="20"/>
      <c r="BQ179" s="20"/>
      <c r="BR179" s="20"/>
      <c r="BS179" s="27">
        <v>96.07</v>
      </c>
      <c r="BT179" s="20"/>
      <c r="BU179" s="20"/>
      <c r="BV179" s="20">
        <v>592.24</v>
      </c>
      <c r="BW179" s="20">
        <v>131.24</v>
      </c>
      <c r="BX179" s="20"/>
      <c r="BY179" s="28">
        <v>6257.88</v>
      </c>
      <c r="BZ179" s="20"/>
      <c r="CA179" s="20">
        <v>1615.2</v>
      </c>
      <c r="CB179" s="20"/>
      <c r="CC179" s="27">
        <v>562.59</v>
      </c>
      <c r="CD179" s="20"/>
      <c r="CE179" s="27">
        <v>616.17999999999995</v>
      </c>
      <c r="CF179" s="20">
        <v>104.13</v>
      </c>
      <c r="CG179" s="27">
        <v>84.42</v>
      </c>
      <c r="CH179" s="20"/>
      <c r="CI179" s="20"/>
      <c r="CJ179" s="20"/>
      <c r="CK179" s="20"/>
      <c r="CL179" s="20"/>
      <c r="CM179" s="27">
        <v>415.6</v>
      </c>
      <c r="CN179" s="20"/>
      <c r="CO179" s="20"/>
      <c r="CP179" s="20"/>
      <c r="CQ179" s="20"/>
      <c r="CR179" s="27">
        <v>96.07</v>
      </c>
      <c r="CS179" s="20"/>
      <c r="CT179" s="20"/>
      <c r="CU179" s="20"/>
      <c r="CV179" s="20"/>
      <c r="CW179" s="20"/>
      <c r="CX179" s="20"/>
      <c r="CY179" s="28">
        <v>3494.19</v>
      </c>
      <c r="CZ179" s="27">
        <v>415.92</v>
      </c>
      <c r="DA179" s="27">
        <v>138.63999999999999</v>
      </c>
      <c r="DB179" s="27">
        <v>21.57</v>
      </c>
      <c r="DC179" s="27">
        <v>36.35</v>
      </c>
      <c r="DD179" s="20">
        <v>46.21</v>
      </c>
      <c r="DE179" s="27">
        <v>20.95</v>
      </c>
      <c r="DF179" s="28">
        <v>679.64</v>
      </c>
      <c r="DG179" s="28">
        <v>2763.69</v>
      </c>
    </row>
    <row r="180" spans="1:111" s="31" customFormat="1" ht="14.5" x14ac:dyDescent="0.35">
      <c r="B180" s="20">
        <v>174</v>
      </c>
      <c r="C180" s="20" t="s">
        <v>187</v>
      </c>
      <c r="D180" s="20" t="s">
        <v>105</v>
      </c>
      <c r="E180" s="20" t="s">
        <v>298</v>
      </c>
      <c r="F180" s="20" t="s">
        <v>703</v>
      </c>
      <c r="G180" s="20" t="s">
        <v>714</v>
      </c>
      <c r="H180" s="20" t="s">
        <v>715</v>
      </c>
      <c r="I180" s="20" t="s">
        <v>58</v>
      </c>
      <c r="J180" s="20" t="s">
        <v>298</v>
      </c>
      <c r="K180" s="20" t="s">
        <v>66</v>
      </c>
      <c r="L180" s="21">
        <v>36539</v>
      </c>
      <c r="M180" s="20" t="s">
        <v>1353</v>
      </c>
      <c r="N180" s="20" t="s">
        <v>129</v>
      </c>
      <c r="O180" s="20" t="s">
        <v>67</v>
      </c>
      <c r="P180" s="20" t="s">
        <v>1060</v>
      </c>
      <c r="Q180" s="20" t="s">
        <v>1061</v>
      </c>
      <c r="R180" s="20" t="s">
        <v>783</v>
      </c>
      <c r="S180" s="20" t="s">
        <v>106</v>
      </c>
      <c r="T180" s="20" t="s">
        <v>65</v>
      </c>
      <c r="U180" s="20" t="s">
        <v>73</v>
      </c>
      <c r="V180" s="20" t="s">
        <v>875</v>
      </c>
      <c r="W180" s="20" t="s">
        <v>891</v>
      </c>
      <c r="X180" s="20" t="s">
        <v>1004</v>
      </c>
      <c r="Y180" s="20" t="s">
        <v>1566</v>
      </c>
      <c r="Z180" s="20" t="s">
        <v>1529</v>
      </c>
      <c r="AA180" s="20" t="s">
        <v>1679</v>
      </c>
      <c r="AB180" s="21">
        <v>45108</v>
      </c>
      <c r="AC180" s="20"/>
      <c r="AD180" s="20"/>
      <c r="AE180" s="27">
        <v>30</v>
      </c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 t="s">
        <v>1784</v>
      </c>
      <c r="AR180" s="20" t="s">
        <v>1784</v>
      </c>
      <c r="AS180" s="29">
        <v>4070</v>
      </c>
      <c r="AT180" s="63"/>
      <c r="AU180" s="27">
        <v>4070</v>
      </c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7">
        <v>303.8</v>
      </c>
      <c r="BP180" s="20"/>
      <c r="BQ180" s="20"/>
      <c r="BR180" s="20"/>
      <c r="BS180" s="27">
        <v>48.03</v>
      </c>
      <c r="BT180" s="20"/>
      <c r="BU180" s="20"/>
      <c r="BV180" s="20"/>
      <c r="BW180" s="20"/>
      <c r="BX180" s="20"/>
      <c r="BY180" s="28">
        <v>4421.83</v>
      </c>
      <c r="BZ180" s="20"/>
      <c r="CA180" s="20"/>
      <c r="CB180" s="20"/>
      <c r="CC180" s="27">
        <v>179.53</v>
      </c>
      <c r="CD180" s="20"/>
      <c r="CE180" s="27">
        <v>437.38</v>
      </c>
      <c r="CF180" s="20"/>
      <c r="CG180" s="27">
        <v>59.92</v>
      </c>
      <c r="CH180" s="20"/>
      <c r="CI180" s="20"/>
      <c r="CJ180" s="20"/>
      <c r="CK180" s="20"/>
      <c r="CL180" s="20"/>
      <c r="CM180" s="27">
        <v>303.8</v>
      </c>
      <c r="CN180" s="20"/>
      <c r="CO180" s="20"/>
      <c r="CP180" s="20"/>
      <c r="CQ180" s="20"/>
      <c r="CR180" s="27">
        <v>48.03</v>
      </c>
      <c r="CS180" s="20"/>
      <c r="CT180" s="20"/>
      <c r="CU180" s="20"/>
      <c r="CV180" s="20"/>
      <c r="CW180" s="20"/>
      <c r="CX180" s="20"/>
      <c r="CY180" s="28">
        <v>1028.6600000000001</v>
      </c>
      <c r="CZ180" s="27">
        <v>295.23</v>
      </c>
      <c r="DA180" s="27">
        <v>98.41</v>
      </c>
      <c r="DB180" s="27">
        <v>15.31</v>
      </c>
      <c r="DC180" s="27">
        <v>25.81</v>
      </c>
      <c r="DD180" s="20"/>
      <c r="DE180" s="27">
        <v>14.87</v>
      </c>
      <c r="DF180" s="28">
        <v>449.63</v>
      </c>
      <c r="DG180" s="28">
        <v>3393.17</v>
      </c>
    </row>
    <row r="181" spans="1:111" s="31" customFormat="1" ht="14.5" x14ac:dyDescent="0.35">
      <c r="B181" s="20">
        <v>120</v>
      </c>
      <c r="C181" s="20" t="s">
        <v>187</v>
      </c>
      <c r="D181" s="20" t="s">
        <v>109</v>
      </c>
      <c r="E181" s="20" t="s">
        <v>271</v>
      </c>
      <c r="F181" s="20" t="s">
        <v>643</v>
      </c>
      <c r="G181" s="20" t="s">
        <v>644</v>
      </c>
      <c r="H181" s="20" t="s">
        <v>645</v>
      </c>
      <c r="I181" s="20" t="s">
        <v>58</v>
      </c>
      <c r="J181" s="20" t="s">
        <v>271</v>
      </c>
      <c r="K181" s="20" t="s">
        <v>59</v>
      </c>
      <c r="L181" s="21">
        <v>24108</v>
      </c>
      <c r="M181" s="20" t="s">
        <v>501</v>
      </c>
      <c r="N181" s="20" t="s">
        <v>327</v>
      </c>
      <c r="O181" s="20" t="s">
        <v>67</v>
      </c>
      <c r="P181" s="20" t="s">
        <v>454</v>
      </c>
      <c r="Q181" s="20" t="s">
        <v>455</v>
      </c>
      <c r="R181" s="20" t="s">
        <v>779</v>
      </c>
      <c r="S181" s="20" t="s">
        <v>780</v>
      </c>
      <c r="T181" s="20" t="s">
        <v>65</v>
      </c>
      <c r="U181" s="20" t="s">
        <v>73</v>
      </c>
      <c r="V181" s="20" t="s">
        <v>1392</v>
      </c>
      <c r="W181" s="20" t="s">
        <v>893</v>
      </c>
      <c r="X181" s="20" t="s">
        <v>976</v>
      </c>
      <c r="Y181" s="20" t="s">
        <v>138</v>
      </c>
      <c r="Z181" s="20" t="s">
        <v>1529</v>
      </c>
      <c r="AA181" s="20" t="s">
        <v>1639</v>
      </c>
      <c r="AB181" s="21">
        <v>44236</v>
      </c>
      <c r="AC181" s="20"/>
      <c r="AD181" s="20"/>
      <c r="AE181" s="27">
        <v>30</v>
      </c>
      <c r="AF181" s="20"/>
      <c r="AG181" s="20"/>
      <c r="AH181" s="20"/>
      <c r="AI181" s="20"/>
      <c r="AJ181" s="20"/>
      <c r="AK181" s="20"/>
      <c r="AL181" s="20">
        <v>8</v>
      </c>
      <c r="AM181" s="20">
        <v>18</v>
      </c>
      <c r="AN181" s="20"/>
      <c r="AO181" s="20"/>
      <c r="AP181" s="20"/>
      <c r="AQ181" s="20">
        <v>87</v>
      </c>
      <c r="AR181" s="20">
        <v>56</v>
      </c>
      <c r="AS181" s="29">
        <v>4048</v>
      </c>
      <c r="AT181" s="63">
        <v>150</v>
      </c>
      <c r="AU181" s="27">
        <v>4048</v>
      </c>
      <c r="AV181" s="20">
        <v>150</v>
      </c>
      <c r="AW181" s="20">
        <v>174.91</v>
      </c>
      <c r="AX181" s="20">
        <v>425.04</v>
      </c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7">
        <v>419</v>
      </c>
      <c r="BP181" s="20"/>
      <c r="BQ181" s="20"/>
      <c r="BR181" s="20"/>
      <c r="BS181" s="27">
        <v>144.1</v>
      </c>
      <c r="BT181" s="20"/>
      <c r="BU181" s="20"/>
      <c r="BV181" s="20">
        <v>519.5</v>
      </c>
      <c r="BW181" s="20">
        <v>220.11</v>
      </c>
      <c r="BX181" s="20"/>
      <c r="BY181" s="28">
        <v>6100.66</v>
      </c>
      <c r="BZ181" s="20"/>
      <c r="CA181" s="20">
        <v>1619.2</v>
      </c>
      <c r="CB181" s="20"/>
      <c r="CC181" s="27">
        <v>523.41999999999996</v>
      </c>
      <c r="CD181" s="20"/>
      <c r="CE181" s="27">
        <v>595.66</v>
      </c>
      <c r="CF181" s="20"/>
      <c r="CG181" s="27">
        <v>81.599999999999994</v>
      </c>
      <c r="CH181" s="20"/>
      <c r="CI181" s="20"/>
      <c r="CJ181" s="20"/>
      <c r="CK181" s="20"/>
      <c r="CL181" s="20"/>
      <c r="CM181" s="27">
        <v>419</v>
      </c>
      <c r="CN181" s="20"/>
      <c r="CO181" s="20"/>
      <c r="CP181" s="20"/>
      <c r="CQ181" s="20"/>
      <c r="CR181" s="27">
        <v>144.1</v>
      </c>
      <c r="CS181" s="20"/>
      <c r="CT181" s="20"/>
      <c r="CU181" s="20"/>
      <c r="CV181" s="20"/>
      <c r="CW181" s="20"/>
      <c r="CX181" s="20"/>
      <c r="CY181" s="28">
        <v>3382.98</v>
      </c>
      <c r="CZ181" s="27">
        <v>402.07</v>
      </c>
      <c r="DA181" s="27">
        <v>134.02000000000001</v>
      </c>
      <c r="DB181" s="27">
        <v>20.85</v>
      </c>
      <c r="DC181" s="27">
        <v>35.14</v>
      </c>
      <c r="DD181" s="20">
        <v>44.67</v>
      </c>
      <c r="DE181" s="27">
        <v>20.25</v>
      </c>
      <c r="DF181" s="28">
        <v>657</v>
      </c>
      <c r="DG181" s="28">
        <v>2717.68</v>
      </c>
    </row>
    <row r="182" spans="1:111" s="31" customFormat="1" ht="14.5" x14ac:dyDescent="0.35">
      <c r="B182" s="20">
        <v>86</v>
      </c>
      <c r="C182" s="20" t="s">
        <v>187</v>
      </c>
      <c r="D182" s="20" t="s">
        <v>105</v>
      </c>
      <c r="E182" s="20" t="s">
        <v>245</v>
      </c>
      <c r="F182" s="20" t="s">
        <v>86</v>
      </c>
      <c r="G182" s="20" t="s">
        <v>557</v>
      </c>
      <c r="H182" s="20" t="s">
        <v>425</v>
      </c>
      <c r="I182" s="20" t="s">
        <v>58</v>
      </c>
      <c r="J182" s="20" t="s">
        <v>245</v>
      </c>
      <c r="K182" s="20" t="s">
        <v>59</v>
      </c>
      <c r="L182" s="21">
        <v>34809</v>
      </c>
      <c r="M182" s="20" t="s">
        <v>1285</v>
      </c>
      <c r="N182" s="20" t="s">
        <v>129</v>
      </c>
      <c r="O182" s="20" t="s">
        <v>60</v>
      </c>
      <c r="P182" s="20" t="s">
        <v>346</v>
      </c>
      <c r="Q182" s="20" t="s">
        <v>347</v>
      </c>
      <c r="R182" s="20" t="s">
        <v>779</v>
      </c>
      <c r="S182" s="20" t="s">
        <v>782</v>
      </c>
      <c r="T182" s="20" t="s">
        <v>65</v>
      </c>
      <c r="U182" s="20" t="s">
        <v>73</v>
      </c>
      <c r="V182" s="20" t="s">
        <v>832</v>
      </c>
      <c r="W182" s="20" t="s">
        <v>896</v>
      </c>
      <c r="X182" s="20" t="s">
        <v>952</v>
      </c>
      <c r="Y182" s="20" t="s">
        <v>63</v>
      </c>
      <c r="Z182" s="20" t="s">
        <v>1529</v>
      </c>
      <c r="AA182" s="20" t="s">
        <v>1608</v>
      </c>
      <c r="AB182" s="21">
        <v>44200</v>
      </c>
      <c r="AC182" s="20"/>
      <c r="AD182" s="20"/>
      <c r="AE182" s="27">
        <v>27</v>
      </c>
      <c r="AF182" s="20"/>
      <c r="AG182" s="20">
        <v>3</v>
      </c>
      <c r="AH182" s="20"/>
      <c r="AI182" s="20"/>
      <c r="AJ182" s="20"/>
      <c r="AK182" s="20"/>
      <c r="AL182" s="20"/>
      <c r="AM182" s="20"/>
      <c r="AN182" s="20"/>
      <c r="AO182" s="20"/>
      <c r="AP182" s="20"/>
      <c r="AQ182" s="20" t="s">
        <v>1784</v>
      </c>
      <c r="AR182" s="20" t="s">
        <v>1784</v>
      </c>
      <c r="AS182" s="29">
        <v>13000</v>
      </c>
      <c r="AT182" s="63"/>
      <c r="AU182" s="27">
        <v>11700</v>
      </c>
      <c r="AV182" s="20"/>
      <c r="AW182" s="20"/>
      <c r="AX182" s="20"/>
      <c r="AY182" s="20"/>
      <c r="AZ182" s="20">
        <v>1300</v>
      </c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7"/>
      <c r="BP182" s="20"/>
      <c r="BQ182" s="20"/>
      <c r="BR182" s="20"/>
      <c r="BS182" s="27">
        <v>48.03</v>
      </c>
      <c r="BT182" s="20"/>
      <c r="BU182" s="20"/>
      <c r="BV182" s="20"/>
      <c r="BW182" s="20"/>
      <c r="BX182" s="20"/>
      <c r="BY182" s="28">
        <v>13048.03</v>
      </c>
      <c r="BZ182" s="20"/>
      <c r="CA182" s="20"/>
      <c r="CB182" s="20"/>
      <c r="CC182" s="27">
        <v>1971.48</v>
      </c>
      <c r="CD182" s="20"/>
      <c r="CE182" s="27">
        <v>1300</v>
      </c>
      <c r="CF182" s="20"/>
      <c r="CG182" s="27">
        <v>166.93</v>
      </c>
      <c r="CH182" s="20"/>
      <c r="CI182" s="20"/>
      <c r="CJ182" s="20"/>
      <c r="CK182" s="20"/>
      <c r="CL182" s="20"/>
      <c r="CM182" s="27"/>
      <c r="CN182" s="20"/>
      <c r="CO182" s="20"/>
      <c r="CP182" s="20"/>
      <c r="CQ182" s="20"/>
      <c r="CR182" s="27">
        <v>48.03</v>
      </c>
      <c r="CS182" s="20"/>
      <c r="CT182" s="20"/>
      <c r="CU182" s="20"/>
      <c r="CV182" s="20"/>
      <c r="CW182" s="20"/>
      <c r="CX182" s="20"/>
      <c r="CY182" s="28">
        <v>3486.44</v>
      </c>
      <c r="CZ182" s="27">
        <v>877.5</v>
      </c>
      <c r="DA182" s="27">
        <v>292.5</v>
      </c>
      <c r="DB182" s="27">
        <v>42.65</v>
      </c>
      <c r="DC182" s="27">
        <v>76.7</v>
      </c>
      <c r="DD182" s="20"/>
      <c r="DE182" s="27">
        <v>41.43</v>
      </c>
      <c r="DF182" s="28">
        <v>1330.78</v>
      </c>
      <c r="DG182" s="28">
        <v>9561.59</v>
      </c>
    </row>
    <row r="183" spans="1:111" s="31" customFormat="1" ht="14.5" x14ac:dyDescent="0.35">
      <c r="B183" s="20">
        <v>82</v>
      </c>
      <c r="C183" s="20" t="s">
        <v>187</v>
      </c>
      <c r="D183" s="20" t="s">
        <v>105</v>
      </c>
      <c r="E183" s="20" t="s">
        <v>1280</v>
      </c>
      <c r="F183" s="20" t="s">
        <v>1281</v>
      </c>
      <c r="G183" s="20" t="s">
        <v>545</v>
      </c>
      <c r="H183" s="20" t="s">
        <v>1282</v>
      </c>
      <c r="I183" s="20" t="s">
        <v>58</v>
      </c>
      <c r="J183" s="20" t="s">
        <v>1280</v>
      </c>
      <c r="K183" s="20" t="s">
        <v>59</v>
      </c>
      <c r="L183" s="21">
        <v>33910</v>
      </c>
      <c r="M183" s="20" t="s">
        <v>1390</v>
      </c>
      <c r="N183" s="20" t="s">
        <v>129</v>
      </c>
      <c r="O183" s="20" t="s">
        <v>60</v>
      </c>
      <c r="P183" s="20" t="s">
        <v>397</v>
      </c>
      <c r="Q183" s="20" t="s">
        <v>398</v>
      </c>
      <c r="R183" s="20" t="s">
        <v>783</v>
      </c>
      <c r="S183" s="20" t="s">
        <v>782</v>
      </c>
      <c r="T183" s="20" t="s">
        <v>63</v>
      </c>
      <c r="U183" s="20" t="s">
        <v>64</v>
      </c>
      <c r="V183" s="20" t="s">
        <v>1283</v>
      </c>
      <c r="W183" s="20" t="s">
        <v>898</v>
      </c>
      <c r="X183" s="20" t="s">
        <v>1284</v>
      </c>
      <c r="Y183" s="20" t="s">
        <v>63</v>
      </c>
      <c r="Z183" s="20" t="s">
        <v>1529</v>
      </c>
      <c r="AA183" s="20" t="s">
        <v>1606</v>
      </c>
      <c r="AB183" s="21">
        <v>45803</v>
      </c>
      <c r="AC183" s="20"/>
      <c r="AD183" s="20"/>
      <c r="AE183" s="27">
        <v>30</v>
      </c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 t="s">
        <v>1784</v>
      </c>
      <c r="AR183" s="20" t="s">
        <v>1784</v>
      </c>
      <c r="AS183" s="29">
        <v>11500</v>
      </c>
      <c r="AT183" s="63"/>
      <c r="AU183" s="27">
        <v>11500</v>
      </c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7"/>
      <c r="BP183" s="20"/>
      <c r="BQ183" s="20"/>
      <c r="BR183" s="20"/>
      <c r="BS183" s="27">
        <v>96.06</v>
      </c>
      <c r="BT183" s="20"/>
      <c r="BU183" s="20"/>
      <c r="BV183" s="20"/>
      <c r="BW183" s="20"/>
      <c r="BX183" s="20"/>
      <c r="BY183" s="28">
        <v>11596.06</v>
      </c>
      <c r="BZ183" s="20"/>
      <c r="CA183" s="20"/>
      <c r="CB183" s="20"/>
      <c r="CC183" s="27">
        <v>855.27</v>
      </c>
      <c r="CD183" s="20"/>
      <c r="CE183" s="27">
        <v>1150</v>
      </c>
      <c r="CF183" s="20"/>
      <c r="CG183" s="27">
        <v>157.55000000000001</v>
      </c>
      <c r="CH183" s="20"/>
      <c r="CI183" s="20">
        <v>130.22</v>
      </c>
      <c r="CJ183" s="20"/>
      <c r="CK183" s="20"/>
      <c r="CL183" s="20"/>
      <c r="CM183" s="27"/>
      <c r="CN183" s="20"/>
      <c r="CO183" s="20"/>
      <c r="CP183" s="20"/>
      <c r="CQ183" s="20"/>
      <c r="CR183" s="27">
        <v>96.06</v>
      </c>
      <c r="CS183" s="20"/>
      <c r="CT183" s="20"/>
      <c r="CU183" s="20"/>
      <c r="CV183" s="20"/>
      <c r="CW183" s="20"/>
      <c r="CX183" s="20"/>
      <c r="CY183" s="28">
        <v>2389.1</v>
      </c>
      <c r="CZ183" s="27">
        <v>776.25</v>
      </c>
      <c r="DA183" s="27">
        <v>258.75</v>
      </c>
      <c r="DB183" s="27">
        <v>40.25</v>
      </c>
      <c r="DC183" s="27">
        <v>67.849999999999994</v>
      </c>
      <c r="DD183" s="20"/>
      <c r="DE183" s="27">
        <v>39.1</v>
      </c>
      <c r="DF183" s="28">
        <v>1182.2</v>
      </c>
      <c r="DG183" s="28">
        <v>9206.9599999999991</v>
      </c>
    </row>
    <row r="184" spans="1:111" s="31" customFormat="1" ht="14.5" x14ac:dyDescent="0.35">
      <c r="B184" s="20">
        <v>178</v>
      </c>
      <c r="C184" s="20" t="s">
        <v>187</v>
      </c>
      <c r="D184" s="20" t="s">
        <v>105</v>
      </c>
      <c r="E184" s="20" t="s">
        <v>301</v>
      </c>
      <c r="F184" s="20" t="s">
        <v>722</v>
      </c>
      <c r="G184" s="20" t="s">
        <v>723</v>
      </c>
      <c r="H184" s="20" t="s">
        <v>724</v>
      </c>
      <c r="I184" s="20" t="s">
        <v>58</v>
      </c>
      <c r="J184" s="20" t="s">
        <v>301</v>
      </c>
      <c r="K184" s="20" t="s">
        <v>66</v>
      </c>
      <c r="L184" s="21">
        <v>29461</v>
      </c>
      <c r="M184" s="20" t="s">
        <v>725</v>
      </c>
      <c r="N184" s="20" t="s">
        <v>129</v>
      </c>
      <c r="O184" s="20" t="s">
        <v>558</v>
      </c>
      <c r="P184" s="20" t="s">
        <v>726</v>
      </c>
      <c r="Q184" s="20" t="s">
        <v>727</v>
      </c>
      <c r="R184" s="20" t="s">
        <v>783</v>
      </c>
      <c r="S184" s="20" t="s">
        <v>782</v>
      </c>
      <c r="T184" s="20" t="s">
        <v>65</v>
      </c>
      <c r="U184" s="20" t="s">
        <v>73</v>
      </c>
      <c r="V184" s="20" t="s">
        <v>1253</v>
      </c>
      <c r="W184" s="20" t="s">
        <v>891</v>
      </c>
      <c r="X184" s="20" t="s">
        <v>1007</v>
      </c>
      <c r="Y184" s="20" t="s">
        <v>65</v>
      </c>
      <c r="Z184" s="20" t="s">
        <v>1529</v>
      </c>
      <c r="AA184" s="20" t="s">
        <v>1682</v>
      </c>
      <c r="AB184" s="21">
        <v>45293</v>
      </c>
      <c r="AC184" s="20"/>
      <c r="AD184" s="20"/>
      <c r="AE184" s="27">
        <v>30</v>
      </c>
      <c r="AF184" s="20">
        <v>28</v>
      </c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 t="s">
        <v>1784</v>
      </c>
      <c r="AR184" s="20" t="s">
        <v>1784</v>
      </c>
      <c r="AS184" s="29">
        <v>7763</v>
      </c>
      <c r="AT184" s="63"/>
      <c r="AU184" s="27">
        <v>7763</v>
      </c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>
        <v>7245.47</v>
      </c>
      <c r="BI184" s="20"/>
      <c r="BJ184" s="20"/>
      <c r="BK184" s="20"/>
      <c r="BL184" s="20"/>
      <c r="BM184" s="20"/>
      <c r="BN184" s="20"/>
      <c r="BO184" s="27"/>
      <c r="BP184" s="20"/>
      <c r="BQ184" s="20"/>
      <c r="BR184" s="20"/>
      <c r="BS184" s="27">
        <v>48.03</v>
      </c>
      <c r="BT184" s="20"/>
      <c r="BU184" s="20"/>
      <c r="BV184" s="20"/>
      <c r="BW184" s="20"/>
      <c r="BX184" s="20"/>
      <c r="BY184" s="28">
        <v>15056.5</v>
      </c>
      <c r="BZ184" s="20"/>
      <c r="CA184" s="20"/>
      <c r="CB184" s="20"/>
      <c r="CC184" s="27">
        <v>1735.31</v>
      </c>
      <c r="CD184" s="20"/>
      <c r="CE184" s="27">
        <v>1500.85</v>
      </c>
      <c r="CF184" s="20">
        <v>232.63</v>
      </c>
      <c r="CG184" s="27">
        <v>166.93</v>
      </c>
      <c r="CH184" s="20"/>
      <c r="CI184" s="20">
        <v>130.22</v>
      </c>
      <c r="CJ184" s="20"/>
      <c r="CK184" s="20">
        <v>625</v>
      </c>
      <c r="CL184" s="20"/>
      <c r="CM184" s="27"/>
      <c r="CN184" s="20"/>
      <c r="CO184" s="20"/>
      <c r="CP184" s="20"/>
      <c r="CQ184" s="20"/>
      <c r="CR184" s="27">
        <v>48.03</v>
      </c>
      <c r="CS184" s="20"/>
      <c r="CT184" s="20"/>
      <c r="CU184" s="20"/>
      <c r="CV184" s="20"/>
      <c r="CW184" s="20"/>
      <c r="CX184" s="20">
        <v>7763</v>
      </c>
      <c r="CY184" s="28">
        <v>12201.97</v>
      </c>
      <c r="CZ184" s="27">
        <v>1013.07</v>
      </c>
      <c r="DA184" s="27">
        <v>337.69</v>
      </c>
      <c r="DB184" s="27">
        <v>42.65</v>
      </c>
      <c r="DC184" s="27">
        <v>88.55</v>
      </c>
      <c r="DD184" s="20"/>
      <c r="DE184" s="27">
        <v>26.39</v>
      </c>
      <c r="DF184" s="28">
        <v>1508.35</v>
      </c>
      <c r="DG184" s="28">
        <v>2854.53</v>
      </c>
    </row>
    <row r="185" spans="1:111" s="33" customFormat="1" ht="14.5" x14ac:dyDescent="0.35">
      <c r="B185" s="20">
        <v>152</v>
      </c>
      <c r="C185" s="20" t="s">
        <v>187</v>
      </c>
      <c r="D185" s="20" t="s">
        <v>105</v>
      </c>
      <c r="E185" s="20" t="s">
        <v>285</v>
      </c>
      <c r="F185" s="20" t="s">
        <v>331</v>
      </c>
      <c r="G185" s="20" t="s">
        <v>508</v>
      </c>
      <c r="H185" s="20" t="s">
        <v>679</v>
      </c>
      <c r="I185" s="20" t="s">
        <v>58</v>
      </c>
      <c r="J185" s="20" t="s">
        <v>285</v>
      </c>
      <c r="K185" s="20" t="s">
        <v>66</v>
      </c>
      <c r="L185" s="21">
        <v>35125</v>
      </c>
      <c r="M185" s="20" t="s">
        <v>617</v>
      </c>
      <c r="N185" s="20" t="s">
        <v>129</v>
      </c>
      <c r="O185" s="20" t="s">
        <v>60</v>
      </c>
      <c r="P185" s="20" t="s">
        <v>1300</v>
      </c>
      <c r="Q185" s="20" t="s">
        <v>1301</v>
      </c>
      <c r="R185" s="20" t="s">
        <v>779</v>
      </c>
      <c r="S185" s="20" t="s">
        <v>806</v>
      </c>
      <c r="T185" s="20" t="s">
        <v>63</v>
      </c>
      <c r="U185" s="20" t="s">
        <v>64</v>
      </c>
      <c r="V185" s="20" t="s">
        <v>864</v>
      </c>
      <c r="W185" s="20" t="s">
        <v>898</v>
      </c>
      <c r="X185" s="20" t="s">
        <v>991</v>
      </c>
      <c r="Y185" s="20" t="s">
        <v>63</v>
      </c>
      <c r="Z185" s="20" t="s">
        <v>1529</v>
      </c>
      <c r="AA185" s="20" t="s">
        <v>1661</v>
      </c>
      <c r="AB185" s="21">
        <v>44116</v>
      </c>
      <c r="AC185" s="20"/>
      <c r="AD185" s="20"/>
      <c r="AE185" s="27">
        <v>29</v>
      </c>
      <c r="AF185" s="20"/>
      <c r="AG185" s="20">
        <v>1</v>
      </c>
      <c r="AH185" s="20"/>
      <c r="AI185" s="20"/>
      <c r="AJ185" s="20"/>
      <c r="AK185" s="20"/>
      <c r="AL185" s="20"/>
      <c r="AM185" s="20"/>
      <c r="AN185" s="20"/>
      <c r="AO185" s="20"/>
      <c r="AP185" s="20"/>
      <c r="AQ185" s="20" t="s">
        <v>1784</v>
      </c>
      <c r="AR185" s="20" t="s">
        <v>1784</v>
      </c>
      <c r="AS185" s="29">
        <v>13000</v>
      </c>
      <c r="AT185" s="63"/>
      <c r="AU185" s="27">
        <v>12566.67</v>
      </c>
      <c r="AV185" s="20"/>
      <c r="AW185" s="20"/>
      <c r="AX185" s="20"/>
      <c r="AY185" s="20"/>
      <c r="AZ185" s="20">
        <v>433.33</v>
      </c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7"/>
      <c r="BP185" s="20"/>
      <c r="BQ185" s="20"/>
      <c r="BR185" s="20"/>
      <c r="BS185" s="27">
        <v>48.03</v>
      </c>
      <c r="BT185" s="20"/>
      <c r="BU185" s="20"/>
      <c r="BV185" s="20"/>
      <c r="BW185" s="20"/>
      <c r="BX185" s="20"/>
      <c r="BY185" s="28">
        <v>13048.03</v>
      </c>
      <c r="BZ185" s="20"/>
      <c r="CA185" s="20"/>
      <c r="CB185" s="20"/>
      <c r="CC185" s="27">
        <v>1834.24</v>
      </c>
      <c r="CD185" s="20"/>
      <c r="CE185" s="27">
        <v>1300</v>
      </c>
      <c r="CF185" s="20"/>
      <c r="CG185" s="27">
        <v>166.93</v>
      </c>
      <c r="CH185" s="20"/>
      <c r="CI185" s="20">
        <v>130.22</v>
      </c>
      <c r="CJ185" s="20"/>
      <c r="CK185" s="20"/>
      <c r="CL185" s="20"/>
      <c r="CM185" s="27"/>
      <c r="CN185" s="20"/>
      <c r="CO185" s="20"/>
      <c r="CP185" s="20"/>
      <c r="CQ185" s="20"/>
      <c r="CR185" s="27">
        <v>48.03</v>
      </c>
      <c r="CS185" s="20"/>
      <c r="CT185" s="20"/>
      <c r="CU185" s="20"/>
      <c r="CV185" s="20"/>
      <c r="CW185" s="20"/>
      <c r="CX185" s="20"/>
      <c r="CY185" s="28">
        <v>3479.42</v>
      </c>
      <c r="CZ185" s="27">
        <v>877.5</v>
      </c>
      <c r="DA185" s="27">
        <v>292.5</v>
      </c>
      <c r="DB185" s="27">
        <v>42.65</v>
      </c>
      <c r="DC185" s="27">
        <v>76.7</v>
      </c>
      <c r="DD185" s="20"/>
      <c r="DE185" s="27">
        <v>41.43</v>
      </c>
      <c r="DF185" s="28">
        <v>1330.78</v>
      </c>
      <c r="DG185" s="28">
        <v>9568.61</v>
      </c>
    </row>
    <row r="186" spans="1:111" s="31" customFormat="1" ht="14.5" x14ac:dyDescent="0.35">
      <c r="B186" s="32">
        <v>170</v>
      </c>
      <c r="C186" s="32" t="s">
        <v>187</v>
      </c>
      <c r="D186" s="32" t="s">
        <v>105</v>
      </c>
      <c r="E186" s="32" t="s">
        <v>294</v>
      </c>
      <c r="F186" s="32" t="s">
        <v>705</v>
      </c>
      <c r="G186" s="32" t="s">
        <v>706</v>
      </c>
      <c r="H186" s="32" t="s">
        <v>154</v>
      </c>
      <c r="I186" s="32" t="s">
        <v>58</v>
      </c>
      <c r="J186" s="32" t="s">
        <v>294</v>
      </c>
      <c r="K186" s="32" t="s">
        <v>59</v>
      </c>
      <c r="L186" s="37">
        <v>31926</v>
      </c>
      <c r="M186" s="32" t="s">
        <v>707</v>
      </c>
      <c r="N186" s="32" t="s">
        <v>129</v>
      </c>
      <c r="O186" s="32" t="s">
        <v>60</v>
      </c>
      <c r="P186" s="32" t="s">
        <v>76</v>
      </c>
      <c r="Q186" s="32" t="s">
        <v>77</v>
      </c>
      <c r="R186" s="32" t="s">
        <v>779</v>
      </c>
      <c r="S186" s="32" t="s">
        <v>782</v>
      </c>
      <c r="T186" s="32" t="s">
        <v>96</v>
      </c>
      <c r="U186" s="32" t="s">
        <v>64</v>
      </c>
      <c r="V186" s="32" t="s">
        <v>871</v>
      </c>
      <c r="W186" s="32" t="s">
        <v>898</v>
      </c>
      <c r="X186" s="32" t="s">
        <v>1000</v>
      </c>
      <c r="Y186" s="32" t="s">
        <v>161</v>
      </c>
      <c r="Z186" s="32" t="s">
        <v>1529</v>
      </c>
      <c r="AA186" s="32" t="s">
        <v>1674</v>
      </c>
      <c r="AB186" s="37">
        <v>45488</v>
      </c>
      <c r="AC186" s="50">
        <v>45925</v>
      </c>
      <c r="AD186" s="32" t="s">
        <v>1023</v>
      </c>
      <c r="AE186" s="36">
        <v>25</v>
      </c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 t="s">
        <v>1784</v>
      </c>
      <c r="AR186" s="32" t="s">
        <v>1784</v>
      </c>
      <c r="AS186" s="38">
        <v>13000</v>
      </c>
      <c r="AT186" s="68">
        <v>113</v>
      </c>
      <c r="AU186" s="36">
        <v>10833.33</v>
      </c>
      <c r="AV186" s="32">
        <v>113</v>
      </c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6"/>
      <c r="BP186" s="32"/>
      <c r="BQ186" s="32"/>
      <c r="BR186" s="32"/>
      <c r="BS186" s="36">
        <v>48.03</v>
      </c>
      <c r="BT186" s="32"/>
      <c r="BU186" s="32"/>
      <c r="BV186" s="32"/>
      <c r="BW186" s="32"/>
      <c r="BX186" s="32"/>
      <c r="BY186" s="39">
        <v>10994.36</v>
      </c>
      <c r="BZ186" s="32"/>
      <c r="CA186" s="32"/>
      <c r="CB186" s="32"/>
      <c r="CC186" s="36"/>
      <c r="CD186" s="32"/>
      <c r="CE186" s="36">
        <v>1094.6300000000001</v>
      </c>
      <c r="CF186" s="32">
        <v>175.14</v>
      </c>
      <c r="CG186" s="36">
        <v>149.96</v>
      </c>
      <c r="CH186" s="32"/>
      <c r="CI186" s="32">
        <v>156.4</v>
      </c>
      <c r="CJ186" s="32"/>
      <c r="CK186" s="32"/>
      <c r="CL186" s="32"/>
      <c r="CM186" s="36"/>
      <c r="CN186" s="32"/>
      <c r="CO186" s="32"/>
      <c r="CP186" s="32"/>
      <c r="CQ186" s="32"/>
      <c r="CR186" s="36">
        <v>48.03</v>
      </c>
      <c r="CS186" s="32"/>
      <c r="CT186" s="32"/>
      <c r="CU186" s="32"/>
      <c r="CV186" s="32"/>
      <c r="CW186" s="32"/>
      <c r="CX186" s="32"/>
      <c r="CY186" s="39">
        <v>1624.16</v>
      </c>
      <c r="CZ186" s="36">
        <v>738.88</v>
      </c>
      <c r="DA186" s="36">
        <v>246.29</v>
      </c>
      <c r="DB186" s="36">
        <v>38.31</v>
      </c>
      <c r="DC186" s="36">
        <v>64.58</v>
      </c>
      <c r="DD186" s="32"/>
      <c r="DE186" s="36">
        <v>37.22</v>
      </c>
      <c r="DF186" s="39">
        <v>1125.28</v>
      </c>
      <c r="DG186" s="39">
        <v>9370.2000000000007</v>
      </c>
    </row>
    <row r="187" spans="1:111" s="31" customFormat="1" ht="14.5" x14ac:dyDescent="0.35">
      <c r="B187" s="20">
        <v>145</v>
      </c>
      <c r="C187" s="20" t="s">
        <v>187</v>
      </c>
      <c r="D187" s="20" t="s">
        <v>105</v>
      </c>
      <c r="E187" s="20" t="s">
        <v>283</v>
      </c>
      <c r="F187" s="20" t="s">
        <v>598</v>
      </c>
      <c r="G187" s="20" t="s">
        <v>675</v>
      </c>
      <c r="H187" s="20" t="s">
        <v>676</v>
      </c>
      <c r="I187" s="20" t="s">
        <v>58</v>
      </c>
      <c r="J187" s="20" t="s">
        <v>283</v>
      </c>
      <c r="K187" s="20" t="s">
        <v>59</v>
      </c>
      <c r="L187" s="21">
        <v>34630</v>
      </c>
      <c r="M187" s="20" t="s">
        <v>677</v>
      </c>
      <c r="N187" s="20" t="s">
        <v>129</v>
      </c>
      <c r="O187" s="20" t="s">
        <v>60</v>
      </c>
      <c r="P187" s="20" t="s">
        <v>61</v>
      </c>
      <c r="Q187" s="20" t="s">
        <v>62</v>
      </c>
      <c r="R187" s="20" t="s">
        <v>783</v>
      </c>
      <c r="S187" s="20" t="s">
        <v>782</v>
      </c>
      <c r="T187" s="20" t="s">
        <v>65</v>
      </c>
      <c r="U187" s="20" t="s">
        <v>73</v>
      </c>
      <c r="V187" s="20" t="s">
        <v>862</v>
      </c>
      <c r="W187" s="20" t="s">
        <v>891</v>
      </c>
      <c r="X187" s="20" t="s">
        <v>989</v>
      </c>
      <c r="Y187" s="20" t="s">
        <v>1560</v>
      </c>
      <c r="Z187" s="20" t="s">
        <v>1529</v>
      </c>
      <c r="AA187" s="20" t="s">
        <v>1656</v>
      </c>
      <c r="AB187" s="21">
        <v>45306</v>
      </c>
      <c r="AC187" s="20"/>
      <c r="AD187" s="20"/>
      <c r="AE187" s="27">
        <v>30</v>
      </c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>
        <v>1</v>
      </c>
      <c r="AQ187" s="20" t="s">
        <v>1784</v>
      </c>
      <c r="AR187" s="20" t="s">
        <v>1784</v>
      </c>
      <c r="AS187" s="29">
        <v>7315</v>
      </c>
      <c r="AT187" s="63"/>
      <c r="AU187" s="27">
        <v>7315</v>
      </c>
      <c r="AV187" s="20"/>
      <c r="AW187" s="20"/>
      <c r="AX187" s="20"/>
      <c r="AY187" s="20"/>
      <c r="AZ187" s="20"/>
      <c r="BA187" s="20"/>
      <c r="BB187" s="20"/>
      <c r="BC187" s="20"/>
      <c r="BD187" s="20"/>
      <c r="BE187" s="20">
        <v>390</v>
      </c>
      <c r="BF187" s="20"/>
      <c r="BG187" s="20"/>
      <c r="BH187" s="20"/>
      <c r="BI187" s="20"/>
      <c r="BJ187" s="20"/>
      <c r="BK187" s="20"/>
      <c r="BL187" s="20"/>
      <c r="BM187" s="20"/>
      <c r="BN187" s="20">
        <v>487.67</v>
      </c>
      <c r="BO187" s="27"/>
      <c r="BP187" s="20"/>
      <c r="BQ187" s="20">
        <v>2000</v>
      </c>
      <c r="BR187" s="20"/>
      <c r="BS187" s="27">
        <v>48.03</v>
      </c>
      <c r="BT187" s="20"/>
      <c r="BU187" s="20">
        <v>3496.23</v>
      </c>
      <c r="BV187" s="20"/>
      <c r="BW187" s="20"/>
      <c r="BX187" s="20"/>
      <c r="BY187" s="28">
        <v>13736.93</v>
      </c>
      <c r="BZ187" s="20"/>
      <c r="CA187" s="20"/>
      <c r="CB187" s="20"/>
      <c r="CC187" s="27">
        <v>1974.38</v>
      </c>
      <c r="CD187" s="20"/>
      <c r="CE187" s="27">
        <v>1368.89</v>
      </c>
      <c r="CF187" s="20"/>
      <c r="CG187" s="27">
        <v>166.93</v>
      </c>
      <c r="CH187" s="20"/>
      <c r="CI187" s="20"/>
      <c r="CJ187" s="20"/>
      <c r="CK187" s="20"/>
      <c r="CL187" s="20"/>
      <c r="CM187" s="27"/>
      <c r="CN187" s="20"/>
      <c r="CO187" s="20"/>
      <c r="CP187" s="20"/>
      <c r="CQ187" s="20"/>
      <c r="CR187" s="27">
        <v>48.03</v>
      </c>
      <c r="CS187" s="20"/>
      <c r="CT187" s="20"/>
      <c r="CU187" s="20"/>
      <c r="CV187" s="20"/>
      <c r="CW187" s="20"/>
      <c r="CX187" s="20"/>
      <c r="CY187" s="28">
        <v>3558.23</v>
      </c>
      <c r="CZ187" s="27">
        <v>924</v>
      </c>
      <c r="DA187" s="27">
        <v>308</v>
      </c>
      <c r="DB187" s="27">
        <v>42.65</v>
      </c>
      <c r="DC187" s="27">
        <v>80.760000000000005</v>
      </c>
      <c r="DD187" s="20"/>
      <c r="DE187" s="27">
        <v>41.43</v>
      </c>
      <c r="DF187" s="28">
        <v>1396.84</v>
      </c>
      <c r="DG187" s="28">
        <v>10178.700000000001</v>
      </c>
    </row>
    <row r="188" spans="1:111" s="31" customFormat="1" ht="14.5" x14ac:dyDescent="0.35">
      <c r="B188" s="20">
        <v>40</v>
      </c>
      <c r="C188" s="20" t="s">
        <v>187</v>
      </c>
      <c r="D188" s="20" t="s">
        <v>109</v>
      </c>
      <c r="E188" s="20" t="s">
        <v>217</v>
      </c>
      <c r="F188" s="20" t="s">
        <v>450</v>
      </c>
      <c r="G188" s="20" t="s">
        <v>451</v>
      </c>
      <c r="H188" s="20" t="s">
        <v>452</v>
      </c>
      <c r="I188" s="20" t="s">
        <v>58</v>
      </c>
      <c r="J188" s="20" t="s">
        <v>217</v>
      </c>
      <c r="K188" s="20" t="s">
        <v>59</v>
      </c>
      <c r="L188" s="21">
        <v>27014</v>
      </c>
      <c r="M188" s="20" t="s">
        <v>453</v>
      </c>
      <c r="N188" s="20" t="s">
        <v>327</v>
      </c>
      <c r="O188" s="20" t="s">
        <v>67</v>
      </c>
      <c r="P188" s="20" t="s">
        <v>454</v>
      </c>
      <c r="Q188" s="20" t="s">
        <v>455</v>
      </c>
      <c r="R188" s="20" t="s">
        <v>779</v>
      </c>
      <c r="S188" s="20" t="s">
        <v>780</v>
      </c>
      <c r="T188" s="20" t="s">
        <v>63</v>
      </c>
      <c r="U188" s="20" t="s">
        <v>64</v>
      </c>
      <c r="V188" s="20" t="s">
        <v>808</v>
      </c>
      <c r="W188" s="20" t="s">
        <v>891</v>
      </c>
      <c r="X188" s="20" t="s">
        <v>924</v>
      </c>
      <c r="Y188" s="20" t="s">
        <v>65</v>
      </c>
      <c r="Z188" s="20" t="s">
        <v>1529</v>
      </c>
      <c r="AA188" s="20" t="s">
        <v>1570</v>
      </c>
      <c r="AB188" s="21">
        <v>44236</v>
      </c>
      <c r="AC188" s="20"/>
      <c r="AD188" s="20"/>
      <c r="AE188" s="27">
        <v>30</v>
      </c>
      <c r="AF188" s="20"/>
      <c r="AG188" s="20"/>
      <c r="AH188" s="20"/>
      <c r="AI188" s="20"/>
      <c r="AJ188" s="20"/>
      <c r="AK188" s="20"/>
      <c r="AL188" s="20">
        <v>8</v>
      </c>
      <c r="AM188" s="20">
        <v>18</v>
      </c>
      <c r="AN188" s="20"/>
      <c r="AO188" s="20">
        <v>12</v>
      </c>
      <c r="AP188" s="20"/>
      <c r="AQ188" s="20">
        <v>28</v>
      </c>
      <c r="AR188" s="20">
        <v>64</v>
      </c>
      <c r="AS188" s="29">
        <v>4234</v>
      </c>
      <c r="AT188" s="63">
        <v>200</v>
      </c>
      <c r="AU188" s="27">
        <v>4234</v>
      </c>
      <c r="AV188" s="20">
        <v>200</v>
      </c>
      <c r="AW188" s="20">
        <v>184.75</v>
      </c>
      <c r="AX188" s="20">
        <v>448.94</v>
      </c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>
        <v>443.4</v>
      </c>
      <c r="BM188" s="20"/>
      <c r="BN188" s="20"/>
      <c r="BO188" s="27">
        <v>420</v>
      </c>
      <c r="BP188" s="20"/>
      <c r="BQ188" s="20"/>
      <c r="BR188" s="20"/>
      <c r="BS188" s="27">
        <v>96.07</v>
      </c>
      <c r="BT188" s="20"/>
      <c r="BU188" s="20"/>
      <c r="BV188" s="20">
        <v>620.99</v>
      </c>
      <c r="BW188" s="20">
        <v>74.099999999999994</v>
      </c>
      <c r="BX188" s="20"/>
      <c r="BY188" s="28">
        <v>6722.25</v>
      </c>
      <c r="BZ188" s="20"/>
      <c r="CA188" s="20">
        <v>1693.6</v>
      </c>
      <c r="CB188" s="20"/>
      <c r="CC188" s="27">
        <v>659.77</v>
      </c>
      <c r="CD188" s="20"/>
      <c r="CE188" s="27">
        <v>662.62</v>
      </c>
      <c r="CF188" s="20">
        <v>102.71</v>
      </c>
      <c r="CG188" s="27">
        <v>90.78</v>
      </c>
      <c r="CH188" s="20"/>
      <c r="CI188" s="20"/>
      <c r="CJ188" s="20"/>
      <c r="CK188" s="20"/>
      <c r="CL188" s="20"/>
      <c r="CM188" s="27">
        <v>420</v>
      </c>
      <c r="CN188" s="20"/>
      <c r="CO188" s="20"/>
      <c r="CP188" s="20"/>
      <c r="CQ188" s="20"/>
      <c r="CR188" s="27">
        <v>96.07</v>
      </c>
      <c r="CS188" s="20"/>
      <c r="CT188" s="20"/>
      <c r="CU188" s="20"/>
      <c r="CV188" s="20"/>
      <c r="CW188" s="20">
        <v>420</v>
      </c>
      <c r="CX188" s="20"/>
      <c r="CY188" s="28">
        <v>4145.55</v>
      </c>
      <c r="CZ188" s="27">
        <v>596.36</v>
      </c>
      <c r="DA188" s="27"/>
      <c r="DB188" s="27">
        <v>23.19</v>
      </c>
      <c r="DC188" s="27">
        <v>39.090000000000003</v>
      </c>
      <c r="DD188" s="20">
        <v>49.7</v>
      </c>
      <c r="DE188" s="27">
        <v>22.53</v>
      </c>
      <c r="DF188" s="28">
        <v>730.87</v>
      </c>
      <c r="DG188" s="28">
        <v>2576.6999999999998</v>
      </c>
    </row>
    <row r="189" spans="1:111" s="31" customFormat="1" ht="14.5" x14ac:dyDescent="0.35">
      <c r="B189" s="20">
        <v>183</v>
      </c>
      <c r="C189" s="20" t="s">
        <v>187</v>
      </c>
      <c r="D189" s="20" t="s">
        <v>105</v>
      </c>
      <c r="E189" s="20" t="s">
        <v>1176</v>
      </c>
      <c r="F189" s="20" t="s">
        <v>607</v>
      </c>
      <c r="G189" s="20" t="s">
        <v>1177</v>
      </c>
      <c r="H189" s="20" t="s">
        <v>1178</v>
      </c>
      <c r="I189" s="20" t="s">
        <v>58</v>
      </c>
      <c r="J189" s="20" t="s">
        <v>1176</v>
      </c>
      <c r="K189" s="20" t="s">
        <v>66</v>
      </c>
      <c r="L189" s="21">
        <v>34414</v>
      </c>
      <c r="M189" s="20" t="s">
        <v>1124</v>
      </c>
      <c r="N189" s="20" t="s">
        <v>327</v>
      </c>
      <c r="O189" s="20" t="s">
        <v>70</v>
      </c>
      <c r="P189" s="20" t="s">
        <v>590</v>
      </c>
      <c r="Q189" s="20" t="s">
        <v>591</v>
      </c>
      <c r="R189" s="20" t="s">
        <v>783</v>
      </c>
      <c r="S189" s="20" t="s">
        <v>787</v>
      </c>
      <c r="T189" s="20" t="s">
        <v>137</v>
      </c>
      <c r="U189" s="20" t="s">
        <v>64</v>
      </c>
      <c r="V189" s="20" t="s">
        <v>1179</v>
      </c>
      <c r="W189" s="20" t="s">
        <v>891</v>
      </c>
      <c r="X189" s="20" t="s">
        <v>1180</v>
      </c>
      <c r="Y189" s="20" t="s">
        <v>137</v>
      </c>
      <c r="Z189" s="20" t="s">
        <v>1529</v>
      </c>
      <c r="AA189" s="20" t="s">
        <v>1686</v>
      </c>
      <c r="AB189" s="21">
        <v>45729</v>
      </c>
      <c r="AC189" s="20"/>
      <c r="AD189" s="20"/>
      <c r="AE189" s="27">
        <v>30</v>
      </c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 t="s">
        <v>1784</v>
      </c>
      <c r="AR189" s="20" t="s">
        <v>1784</v>
      </c>
      <c r="AS189" s="29">
        <v>4600</v>
      </c>
      <c r="AT189" s="63"/>
      <c r="AU189" s="27">
        <v>4600</v>
      </c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7"/>
      <c r="BP189" s="20"/>
      <c r="BQ189" s="20"/>
      <c r="BR189" s="20"/>
      <c r="BS189" s="27">
        <v>96.06</v>
      </c>
      <c r="BT189" s="20"/>
      <c r="BU189" s="20"/>
      <c r="BV189" s="20"/>
      <c r="BW189" s="20"/>
      <c r="BX189" s="20"/>
      <c r="BY189" s="28">
        <v>4696.0600000000004</v>
      </c>
      <c r="BZ189" s="20"/>
      <c r="CA189" s="20"/>
      <c r="CB189" s="20"/>
      <c r="CC189" s="27">
        <v>147.77000000000001</v>
      </c>
      <c r="CD189" s="20"/>
      <c r="CE189" s="27">
        <v>460</v>
      </c>
      <c r="CF189" s="20"/>
      <c r="CG189" s="27">
        <v>63.02</v>
      </c>
      <c r="CH189" s="20"/>
      <c r="CI189" s="20"/>
      <c r="CJ189" s="20"/>
      <c r="CK189" s="20"/>
      <c r="CL189" s="20"/>
      <c r="CM189" s="27"/>
      <c r="CN189" s="20"/>
      <c r="CO189" s="20"/>
      <c r="CP189" s="20"/>
      <c r="CQ189" s="20"/>
      <c r="CR189" s="27">
        <v>96.06</v>
      </c>
      <c r="CS189" s="20"/>
      <c r="CT189" s="20"/>
      <c r="CU189" s="20"/>
      <c r="CV189" s="20"/>
      <c r="CW189" s="20"/>
      <c r="CX189" s="20"/>
      <c r="CY189" s="28">
        <v>766.85</v>
      </c>
      <c r="CZ189" s="27">
        <v>310.5</v>
      </c>
      <c r="DA189" s="27">
        <v>103.5</v>
      </c>
      <c r="DB189" s="27"/>
      <c r="DC189" s="27"/>
      <c r="DD189" s="20"/>
      <c r="DE189" s="27">
        <v>15.64</v>
      </c>
      <c r="DF189" s="28">
        <v>429.64</v>
      </c>
      <c r="DG189" s="28">
        <v>3929.21</v>
      </c>
    </row>
    <row r="190" spans="1:111" s="31" customFormat="1" ht="14.5" x14ac:dyDescent="0.35">
      <c r="B190" s="20">
        <v>114</v>
      </c>
      <c r="C190" s="20" t="s">
        <v>187</v>
      </c>
      <c r="D190" s="20" t="s">
        <v>105</v>
      </c>
      <c r="E190" s="20" t="s">
        <v>267</v>
      </c>
      <c r="F190" s="20" t="s">
        <v>411</v>
      </c>
      <c r="G190" s="20" t="s">
        <v>628</v>
      </c>
      <c r="H190" s="20" t="s">
        <v>629</v>
      </c>
      <c r="I190" s="20" t="s">
        <v>58</v>
      </c>
      <c r="J190" s="20" t="s">
        <v>267</v>
      </c>
      <c r="K190" s="20" t="s">
        <v>59</v>
      </c>
      <c r="L190" s="21">
        <v>34208</v>
      </c>
      <c r="M190" s="20" t="s">
        <v>630</v>
      </c>
      <c r="N190" s="20" t="s">
        <v>129</v>
      </c>
      <c r="O190" s="20" t="s">
        <v>60</v>
      </c>
      <c r="P190" s="20" t="s">
        <v>376</v>
      </c>
      <c r="Q190" s="20" t="s">
        <v>377</v>
      </c>
      <c r="R190" s="20" t="s">
        <v>779</v>
      </c>
      <c r="S190" s="20" t="s">
        <v>806</v>
      </c>
      <c r="T190" s="20" t="s">
        <v>137</v>
      </c>
      <c r="U190" s="20" t="s">
        <v>64</v>
      </c>
      <c r="V190" s="20" t="s">
        <v>1481</v>
      </c>
      <c r="W190" s="20" t="s">
        <v>898</v>
      </c>
      <c r="X190" s="20" t="s">
        <v>972</v>
      </c>
      <c r="Y190" s="20" t="s">
        <v>1632</v>
      </c>
      <c r="Z190" s="20" t="s">
        <v>1529</v>
      </c>
      <c r="AA190" s="20" t="s">
        <v>1633</v>
      </c>
      <c r="AB190" s="21">
        <v>44116</v>
      </c>
      <c r="AC190" s="20"/>
      <c r="AD190" s="20"/>
      <c r="AE190" s="27">
        <v>28</v>
      </c>
      <c r="AF190" s="20"/>
      <c r="AG190" s="20">
        <v>2</v>
      </c>
      <c r="AH190" s="20"/>
      <c r="AI190" s="20"/>
      <c r="AJ190" s="20"/>
      <c r="AK190" s="20"/>
      <c r="AL190" s="20"/>
      <c r="AM190" s="20"/>
      <c r="AN190" s="20"/>
      <c r="AO190" s="20"/>
      <c r="AP190" s="20">
        <v>1</v>
      </c>
      <c r="AQ190" s="20" t="s">
        <v>1784</v>
      </c>
      <c r="AR190" s="20" t="s">
        <v>1784</v>
      </c>
      <c r="AS190" s="29">
        <v>23723</v>
      </c>
      <c r="AT190" s="63">
        <v>113</v>
      </c>
      <c r="AU190" s="27">
        <v>22141.47</v>
      </c>
      <c r="AV190" s="20">
        <v>113</v>
      </c>
      <c r="AW190" s="20"/>
      <c r="AX190" s="20"/>
      <c r="AY190" s="20"/>
      <c r="AZ190" s="20">
        <v>1581.53</v>
      </c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>
        <v>1589.07</v>
      </c>
      <c r="BO190" s="27"/>
      <c r="BP190" s="20"/>
      <c r="BQ190" s="20"/>
      <c r="BR190" s="20"/>
      <c r="BS190" s="27">
        <v>48.03</v>
      </c>
      <c r="BT190" s="20"/>
      <c r="BU190" s="20"/>
      <c r="BV190" s="20"/>
      <c r="BW190" s="20"/>
      <c r="BX190" s="20"/>
      <c r="BY190" s="28">
        <v>25473.1</v>
      </c>
      <c r="BZ190" s="20"/>
      <c r="CA190" s="20"/>
      <c r="CB190" s="20"/>
      <c r="CC190" s="27">
        <v>5526.02</v>
      </c>
      <c r="CD190" s="20"/>
      <c r="CE190" s="27">
        <v>2542.5100000000002</v>
      </c>
      <c r="CF190" s="20">
        <v>406.8</v>
      </c>
      <c r="CG190" s="27">
        <v>166.93</v>
      </c>
      <c r="CH190" s="20"/>
      <c r="CI190" s="20">
        <v>130.22</v>
      </c>
      <c r="CJ190" s="20"/>
      <c r="CK190" s="20"/>
      <c r="CL190" s="20"/>
      <c r="CM190" s="27"/>
      <c r="CN190" s="20"/>
      <c r="CO190" s="20"/>
      <c r="CP190" s="20"/>
      <c r="CQ190" s="20"/>
      <c r="CR190" s="27">
        <v>48.03</v>
      </c>
      <c r="CS190" s="20"/>
      <c r="CT190" s="20"/>
      <c r="CU190" s="20"/>
      <c r="CV190" s="20"/>
      <c r="CW190" s="20"/>
      <c r="CX190" s="20"/>
      <c r="CY190" s="28">
        <v>8820.51</v>
      </c>
      <c r="CZ190" s="27">
        <v>1716.19</v>
      </c>
      <c r="DA190" s="27">
        <v>572.05999999999995</v>
      </c>
      <c r="DB190" s="27">
        <v>42.65</v>
      </c>
      <c r="DC190" s="27">
        <v>150.01</v>
      </c>
      <c r="DD190" s="20"/>
      <c r="DE190" s="27">
        <v>41.43</v>
      </c>
      <c r="DF190" s="28">
        <v>2522.34</v>
      </c>
      <c r="DG190" s="28">
        <v>16652.59</v>
      </c>
    </row>
    <row r="191" spans="1:111" s="31" customFormat="1" ht="14.5" x14ac:dyDescent="0.35">
      <c r="B191" s="20">
        <v>185</v>
      </c>
      <c r="C191" s="20" t="s">
        <v>187</v>
      </c>
      <c r="D191" s="20" t="s">
        <v>105</v>
      </c>
      <c r="E191" s="20" t="s">
        <v>141</v>
      </c>
      <c r="F191" s="20" t="s">
        <v>121</v>
      </c>
      <c r="G191" s="20" t="s">
        <v>145</v>
      </c>
      <c r="H191" s="20" t="s">
        <v>146</v>
      </c>
      <c r="I191" s="20" t="s">
        <v>58</v>
      </c>
      <c r="J191" s="20" t="s">
        <v>141</v>
      </c>
      <c r="K191" s="20" t="s">
        <v>66</v>
      </c>
      <c r="L191" s="21">
        <v>36847</v>
      </c>
      <c r="M191" s="20" t="s">
        <v>1120</v>
      </c>
      <c r="N191" s="20" t="s">
        <v>129</v>
      </c>
      <c r="O191" s="20" t="s">
        <v>67</v>
      </c>
      <c r="P191" s="20" t="s">
        <v>74</v>
      </c>
      <c r="Q191" s="20" t="s">
        <v>1152</v>
      </c>
      <c r="R191" s="20" t="s">
        <v>783</v>
      </c>
      <c r="S191" s="20" t="s">
        <v>106</v>
      </c>
      <c r="T191" s="20" t="s">
        <v>65</v>
      </c>
      <c r="U191" s="20" t="s">
        <v>73</v>
      </c>
      <c r="V191" s="20" t="s">
        <v>1360</v>
      </c>
      <c r="W191" s="20" t="s">
        <v>891</v>
      </c>
      <c r="X191" s="20" t="s">
        <v>1181</v>
      </c>
      <c r="Y191" s="20" t="s">
        <v>1566</v>
      </c>
      <c r="Z191" s="20" t="s">
        <v>1529</v>
      </c>
      <c r="AA191" s="20" t="s">
        <v>1687</v>
      </c>
      <c r="AB191" s="21">
        <v>45689</v>
      </c>
      <c r="AC191" s="20"/>
      <c r="AD191" s="20"/>
      <c r="AE191" s="27">
        <v>30</v>
      </c>
      <c r="AF191" s="20"/>
      <c r="AG191" s="20"/>
      <c r="AH191" s="20"/>
      <c r="AI191" s="20"/>
      <c r="AJ191" s="20"/>
      <c r="AK191" s="20"/>
      <c r="AL191" s="20"/>
      <c r="AM191" s="20"/>
      <c r="AN191" s="20"/>
      <c r="AO191" s="20">
        <v>4</v>
      </c>
      <c r="AP191" s="20"/>
      <c r="AQ191" s="20" t="s">
        <v>1784</v>
      </c>
      <c r="AR191" s="20" t="s">
        <v>1784</v>
      </c>
      <c r="AS191" s="29">
        <v>3200</v>
      </c>
      <c r="AT191" s="63"/>
      <c r="AU191" s="27">
        <v>3200</v>
      </c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>
        <v>106.67</v>
      </c>
      <c r="BM191" s="20"/>
      <c r="BN191" s="20"/>
      <c r="BO191" s="27">
        <v>324.8</v>
      </c>
      <c r="BP191" s="20"/>
      <c r="BQ191" s="20"/>
      <c r="BR191" s="20"/>
      <c r="BS191" s="27">
        <v>48.03</v>
      </c>
      <c r="BT191" s="20"/>
      <c r="BU191" s="20"/>
      <c r="BV191" s="20"/>
      <c r="BW191" s="20"/>
      <c r="BX191" s="20"/>
      <c r="BY191" s="28">
        <v>3679.5</v>
      </c>
      <c r="BZ191" s="20"/>
      <c r="CA191" s="20"/>
      <c r="CB191" s="20"/>
      <c r="CC191" s="27">
        <v>81.819999999999993</v>
      </c>
      <c r="CD191" s="20"/>
      <c r="CE191" s="27">
        <v>363.15</v>
      </c>
      <c r="CF191" s="20"/>
      <c r="CG191" s="27">
        <v>49.75</v>
      </c>
      <c r="CH191" s="20"/>
      <c r="CI191" s="20"/>
      <c r="CJ191" s="20"/>
      <c r="CK191" s="20"/>
      <c r="CL191" s="20"/>
      <c r="CM191" s="27">
        <v>324.8</v>
      </c>
      <c r="CN191" s="20"/>
      <c r="CO191" s="20"/>
      <c r="CP191" s="20"/>
      <c r="CQ191" s="20"/>
      <c r="CR191" s="27">
        <v>48.03</v>
      </c>
      <c r="CS191" s="20"/>
      <c r="CT191" s="20"/>
      <c r="CU191" s="20"/>
      <c r="CV191" s="20"/>
      <c r="CW191" s="20"/>
      <c r="CX191" s="20"/>
      <c r="CY191" s="28">
        <v>867.55</v>
      </c>
      <c r="CZ191" s="27">
        <v>245.12</v>
      </c>
      <c r="DA191" s="27">
        <v>81.709999999999994</v>
      </c>
      <c r="DB191" s="27">
        <v>12.71</v>
      </c>
      <c r="DC191" s="27">
        <v>21.43</v>
      </c>
      <c r="DD191" s="20"/>
      <c r="DE191" s="27">
        <v>12.35</v>
      </c>
      <c r="DF191" s="28">
        <v>373.32</v>
      </c>
      <c r="DG191" s="28">
        <v>2811.95</v>
      </c>
    </row>
    <row r="192" spans="1:111" s="31" customFormat="1" ht="14.5" x14ac:dyDescent="0.35">
      <c r="B192" s="20">
        <v>53</v>
      </c>
      <c r="C192" s="20" t="s">
        <v>187</v>
      </c>
      <c r="D192" s="20" t="s">
        <v>109</v>
      </c>
      <c r="E192" s="20" t="s">
        <v>227</v>
      </c>
      <c r="F192" s="20" t="s">
        <v>491</v>
      </c>
      <c r="G192" s="20" t="s">
        <v>492</v>
      </c>
      <c r="H192" s="20" t="s">
        <v>493</v>
      </c>
      <c r="I192" s="20" t="s">
        <v>58</v>
      </c>
      <c r="J192" s="20" t="s">
        <v>227</v>
      </c>
      <c r="K192" s="20" t="s">
        <v>59</v>
      </c>
      <c r="L192" s="21">
        <v>29077</v>
      </c>
      <c r="M192" s="20" t="s">
        <v>453</v>
      </c>
      <c r="N192" s="20" t="s">
        <v>327</v>
      </c>
      <c r="O192" s="20" t="s">
        <v>67</v>
      </c>
      <c r="P192" s="20" t="s">
        <v>454</v>
      </c>
      <c r="Q192" s="20" t="s">
        <v>455</v>
      </c>
      <c r="R192" s="20" t="s">
        <v>779</v>
      </c>
      <c r="S192" s="20" t="s">
        <v>780</v>
      </c>
      <c r="T192" s="20" t="s">
        <v>138</v>
      </c>
      <c r="U192" s="20" t="s">
        <v>64</v>
      </c>
      <c r="V192" s="20" t="s">
        <v>816</v>
      </c>
      <c r="W192" s="20" t="s">
        <v>898</v>
      </c>
      <c r="X192" s="20" t="s">
        <v>934</v>
      </c>
      <c r="Y192" s="20" t="s">
        <v>65</v>
      </c>
      <c r="Z192" s="20" t="s">
        <v>1529</v>
      </c>
      <c r="AA192" s="20" t="s">
        <v>1583</v>
      </c>
      <c r="AB192" s="21">
        <v>44236</v>
      </c>
      <c r="AC192" s="20"/>
      <c r="AD192" s="20"/>
      <c r="AE192" s="27">
        <v>30</v>
      </c>
      <c r="AF192" s="20"/>
      <c r="AG192" s="20"/>
      <c r="AH192" s="20"/>
      <c r="AI192" s="20"/>
      <c r="AJ192" s="20"/>
      <c r="AK192" s="20"/>
      <c r="AL192" s="20">
        <v>8</v>
      </c>
      <c r="AM192" s="20">
        <v>35</v>
      </c>
      <c r="AN192" s="20">
        <v>12</v>
      </c>
      <c r="AO192" s="20">
        <v>12</v>
      </c>
      <c r="AP192" s="20"/>
      <c r="AQ192" s="20">
        <v>67</v>
      </c>
      <c r="AR192" s="20">
        <v>104</v>
      </c>
      <c r="AS192" s="29">
        <v>4234</v>
      </c>
      <c r="AT192" s="63">
        <v>200</v>
      </c>
      <c r="AU192" s="27">
        <v>4234</v>
      </c>
      <c r="AV192" s="20">
        <v>200</v>
      </c>
      <c r="AW192" s="20">
        <v>184.75</v>
      </c>
      <c r="AX192" s="20">
        <v>872.94</v>
      </c>
      <c r="AY192" s="20">
        <v>443.4</v>
      </c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>
        <v>443.4</v>
      </c>
      <c r="BM192" s="20"/>
      <c r="BN192" s="20"/>
      <c r="BO192" s="27">
        <v>503.6</v>
      </c>
      <c r="BP192" s="20"/>
      <c r="BQ192" s="20"/>
      <c r="BR192" s="20"/>
      <c r="BS192" s="27">
        <v>96.07</v>
      </c>
      <c r="BT192" s="20"/>
      <c r="BU192" s="20"/>
      <c r="BV192" s="20">
        <v>1009.1</v>
      </c>
      <c r="BW192" s="20">
        <v>177.3</v>
      </c>
      <c r="BX192" s="20"/>
      <c r="BY192" s="28">
        <v>8164.56</v>
      </c>
      <c r="BZ192" s="20"/>
      <c r="CA192" s="20">
        <v>1693.6</v>
      </c>
      <c r="CB192" s="20"/>
      <c r="CC192" s="27">
        <v>800.15</v>
      </c>
      <c r="CD192" s="20"/>
      <c r="CE192" s="27">
        <v>806.85</v>
      </c>
      <c r="CF192" s="20"/>
      <c r="CG192" s="27">
        <v>110.54</v>
      </c>
      <c r="CH192" s="20"/>
      <c r="CI192" s="20"/>
      <c r="CJ192" s="20"/>
      <c r="CK192" s="20"/>
      <c r="CL192" s="20"/>
      <c r="CM192" s="27">
        <v>503.6</v>
      </c>
      <c r="CN192" s="20"/>
      <c r="CO192" s="20"/>
      <c r="CP192" s="20"/>
      <c r="CQ192" s="20"/>
      <c r="CR192" s="27">
        <v>96.07</v>
      </c>
      <c r="CS192" s="20"/>
      <c r="CT192" s="20"/>
      <c r="CU192" s="20"/>
      <c r="CV192" s="20"/>
      <c r="CW192" s="20"/>
      <c r="CX192" s="20"/>
      <c r="CY192" s="28">
        <v>4010.81</v>
      </c>
      <c r="CZ192" s="27">
        <v>544.62</v>
      </c>
      <c r="DA192" s="27">
        <v>181.54</v>
      </c>
      <c r="DB192" s="27">
        <v>28.24</v>
      </c>
      <c r="DC192" s="27">
        <v>47.6</v>
      </c>
      <c r="DD192" s="20">
        <v>60.51</v>
      </c>
      <c r="DE192" s="27">
        <v>27.43</v>
      </c>
      <c r="DF192" s="28">
        <v>889.94</v>
      </c>
      <c r="DG192" s="28">
        <v>4153.75</v>
      </c>
    </row>
    <row r="193" spans="1:111" s="31" customFormat="1" ht="14.5" x14ac:dyDescent="0.35">
      <c r="B193" s="20">
        <v>187</v>
      </c>
      <c r="C193" s="20" t="s">
        <v>187</v>
      </c>
      <c r="D193" s="20" t="s">
        <v>105</v>
      </c>
      <c r="E193" s="20" t="s">
        <v>1308</v>
      </c>
      <c r="F193" s="20" t="s">
        <v>1309</v>
      </c>
      <c r="G193" s="20" t="s">
        <v>682</v>
      </c>
      <c r="H193" s="20" t="s">
        <v>1310</v>
      </c>
      <c r="I193" s="20" t="s">
        <v>58</v>
      </c>
      <c r="J193" s="20" t="s">
        <v>1308</v>
      </c>
      <c r="K193" s="20" t="s">
        <v>59</v>
      </c>
      <c r="L193" s="21">
        <v>32390</v>
      </c>
      <c r="M193" s="20" t="s">
        <v>1292</v>
      </c>
      <c r="N193" s="20" t="s">
        <v>129</v>
      </c>
      <c r="O193" s="20" t="s">
        <v>67</v>
      </c>
      <c r="P193" s="20" t="s">
        <v>1051</v>
      </c>
      <c r="Q193" s="20" t="s">
        <v>1052</v>
      </c>
      <c r="R193" s="20" t="s">
        <v>779</v>
      </c>
      <c r="S193" s="20" t="s">
        <v>782</v>
      </c>
      <c r="T193" s="20" t="s">
        <v>65</v>
      </c>
      <c r="U193" s="20" t="s">
        <v>73</v>
      </c>
      <c r="V193" s="20" t="s">
        <v>1311</v>
      </c>
      <c r="W193" s="20" t="s">
        <v>891</v>
      </c>
      <c r="X193" s="20" t="s">
        <v>1312</v>
      </c>
      <c r="Y193" s="20"/>
      <c r="Z193" s="20"/>
      <c r="AA193" s="20"/>
      <c r="AB193" s="21">
        <v>45782</v>
      </c>
      <c r="AC193" s="20"/>
      <c r="AD193" s="20"/>
      <c r="AE193" s="27">
        <v>30</v>
      </c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 t="s">
        <v>1784</v>
      </c>
      <c r="AR193" s="20" t="s">
        <v>1784</v>
      </c>
      <c r="AS193" s="29">
        <v>13000</v>
      </c>
      <c r="AT193" s="63">
        <v>113</v>
      </c>
      <c r="AU193" s="27">
        <v>13000</v>
      </c>
      <c r="AV193" s="20">
        <v>113</v>
      </c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7">
        <v>247</v>
      </c>
      <c r="BP193" s="20"/>
      <c r="BQ193" s="20"/>
      <c r="BR193" s="20"/>
      <c r="BS193" s="27">
        <v>48.03</v>
      </c>
      <c r="BT193" s="20">
        <v>100</v>
      </c>
      <c r="BU193" s="20"/>
      <c r="BV193" s="20"/>
      <c r="BW193" s="20"/>
      <c r="BX193" s="20"/>
      <c r="BY193" s="28">
        <v>13508.03</v>
      </c>
      <c r="BZ193" s="20"/>
      <c r="CA193" s="20"/>
      <c r="CB193" s="20"/>
      <c r="CC193" s="27">
        <v>1430.05</v>
      </c>
      <c r="CD193" s="20"/>
      <c r="CE193" s="27">
        <v>1336</v>
      </c>
      <c r="CF193" s="20">
        <v>207.08</v>
      </c>
      <c r="CG193" s="27">
        <v>166.93</v>
      </c>
      <c r="CH193" s="20"/>
      <c r="CI193" s="20">
        <v>260.45</v>
      </c>
      <c r="CJ193" s="20"/>
      <c r="CK193" s="20"/>
      <c r="CL193" s="20"/>
      <c r="CM193" s="27">
        <v>247</v>
      </c>
      <c r="CN193" s="20"/>
      <c r="CO193" s="20"/>
      <c r="CP193" s="20"/>
      <c r="CQ193" s="20"/>
      <c r="CR193" s="27">
        <v>48.03</v>
      </c>
      <c r="CS193" s="20">
        <v>4.9000000000000004</v>
      </c>
      <c r="CT193" s="20"/>
      <c r="CU193" s="20"/>
      <c r="CV193" s="20">
        <v>100</v>
      </c>
      <c r="CW193" s="20"/>
      <c r="CX193" s="20"/>
      <c r="CY193" s="28">
        <v>3800.44</v>
      </c>
      <c r="CZ193" s="27">
        <v>901.8</v>
      </c>
      <c r="DA193" s="27">
        <v>300.60000000000002</v>
      </c>
      <c r="DB193" s="27">
        <v>42.65</v>
      </c>
      <c r="DC193" s="27">
        <v>78.819999999999993</v>
      </c>
      <c r="DD193" s="20">
        <v>100.2</v>
      </c>
      <c r="DE193" s="27">
        <v>41.43</v>
      </c>
      <c r="DF193" s="28">
        <v>1465.5</v>
      </c>
      <c r="DG193" s="28">
        <v>9707.59</v>
      </c>
    </row>
    <row r="194" spans="1:111" s="33" customFormat="1" ht="14.5" x14ac:dyDescent="0.35">
      <c r="A194" s="33" t="s">
        <v>1801</v>
      </c>
      <c r="B194" s="32">
        <v>188</v>
      </c>
      <c r="C194" s="32" t="s">
        <v>187</v>
      </c>
      <c r="D194" s="32" t="s">
        <v>105</v>
      </c>
      <c r="E194" s="32" t="s">
        <v>305</v>
      </c>
      <c r="F194" s="32" t="s">
        <v>733</v>
      </c>
      <c r="G194" s="32" t="s">
        <v>592</v>
      </c>
      <c r="H194" s="32" t="s">
        <v>734</v>
      </c>
      <c r="I194" s="32" t="s">
        <v>58</v>
      </c>
      <c r="J194" s="32" t="s">
        <v>305</v>
      </c>
      <c r="K194" s="32" t="s">
        <v>59</v>
      </c>
      <c r="L194" s="37">
        <v>34783</v>
      </c>
      <c r="M194" s="32" t="s">
        <v>543</v>
      </c>
      <c r="N194" s="32" t="s">
        <v>129</v>
      </c>
      <c r="O194" s="32" t="s">
        <v>544</v>
      </c>
      <c r="P194" s="32" t="s">
        <v>71</v>
      </c>
      <c r="Q194" s="32" t="s">
        <v>72</v>
      </c>
      <c r="R194" s="32" t="s">
        <v>783</v>
      </c>
      <c r="S194" s="32" t="s">
        <v>106</v>
      </c>
      <c r="T194" s="32" t="s">
        <v>63</v>
      </c>
      <c r="U194" s="32" t="s">
        <v>64</v>
      </c>
      <c r="V194" s="32" t="s">
        <v>881</v>
      </c>
      <c r="W194" s="32" t="s">
        <v>891</v>
      </c>
      <c r="X194" s="32" t="s">
        <v>1011</v>
      </c>
      <c r="Y194" s="32" t="s">
        <v>63</v>
      </c>
      <c r="Z194" s="32" t="s">
        <v>1529</v>
      </c>
      <c r="AA194" s="32" t="s">
        <v>1689</v>
      </c>
      <c r="AB194" s="37">
        <v>45034</v>
      </c>
      <c r="AC194" s="50">
        <v>45930</v>
      </c>
      <c r="AD194" s="32" t="s">
        <v>1023</v>
      </c>
      <c r="AE194" s="36">
        <v>30</v>
      </c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 t="s">
        <v>1784</v>
      </c>
      <c r="AR194" s="32" t="s">
        <v>1784</v>
      </c>
      <c r="AS194" s="38">
        <v>8570</v>
      </c>
      <c r="AT194" s="68"/>
      <c r="AU194" s="36">
        <v>8570</v>
      </c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6">
        <v>87</v>
      </c>
      <c r="BP194" s="32"/>
      <c r="BQ194" s="32"/>
      <c r="BR194" s="32"/>
      <c r="BS194" s="36">
        <v>48.03</v>
      </c>
      <c r="BT194" s="32"/>
      <c r="BU194" s="32"/>
      <c r="BV194" s="32"/>
      <c r="BW194" s="32"/>
      <c r="BX194" s="32"/>
      <c r="BY194" s="39">
        <v>8705.0300000000007</v>
      </c>
      <c r="BZ194" s="32"/>
      <c r="CA194" s="32"/>
      <c r="CB194" s="32"/>
      <c r="CC194" s="36"/>
      <c r="CD194" s="32"/>
      <c r="CE194" s="36">
        <v>865.7</v>
      </c>
      <c r="CF194" s="32"/>
      <c r="CG194" s="36">
        <v>118.6</v>
      </c>
      <c r="CH194" s="32"/>
      <c r="CI194" s="32"/>
      <c r="CJ194" s="32"/>
      <c r="CK194" s="32"/>
      <c r="CL194" s="32"/>
      <c r="CM194" s="36">
        <v>87</v>
      </c>
      <c r="CN194" s="32"/>
      <c r="CO194" s="32"/>
      <c r="CP194" s="32"/>
      <c r="CQ194" s="32"/>
      <c r="CR194" s="36">
        <v>48.03</v>
      </c>
      <c r="CS194" s="32"/>
      <c r="CT194" s="32"/>
      <c r="CU194" s="32"/>
      <c r="CV194" s="32"/>
      <c r="CW194" s="32"/>
      <c r="CX194" s="32"/>
      <c r="CY194" s="39">
        <v>1119.33</v>
      </c>
      <c r="CZ194" s="36">
        <v>584.35</v>
      </c>
      <c r="DA194" s="36">
        <v>194.78</v>
      </c>
      <c r="DB194" s="36">
        <v>30.3</v>
      </c>
      <c r="DC194" s="36">
        <v>51.08</v>
      </c>
      <c r="DD194" s="32"/>
      <c r="DE194" s="36">
        <v>29.43</v>
      </c>
      <c r="DF194" s="39">
        <v>889.94</v>
      </c>
      <c r="DG194" s="39">
        <v>7585.7</v>
      </c>
    </row>
    <row r="195" spans="1:111" s="31" customFormat="1" ht="14.5" x14ac:dyDescent="0.35">
      <c r="B195" s="20">
        <v>105</v>
      </c>
      <c r="C195" s="20" t="s">
        <v>187</v>
      </c>
      <c r="D195" s="20" t="s">
        <v>105</v>
      </c>
      <c r="E195" s="20" t="s">
        <v>260</v>
      </c>
      <c r="F195" s="20" t="s">
        <v>370</v>
      </c>
      <c r="G195" s="20" t="s">
        <v>604</v>
      </c>
      <c r="H195" s="20" t="s">
        <v>605</v>
      </c>
      <c r="I195" s="20" t="s">
        <v>58</v>
      </c>
      <c r="J195" s="20" t="s">
        <v>260</v>
      </c>
      <c r="K195" s="20" t="s">
        <v>59</v>
      </c>
      <c r="L195" s="21">
        <v>34788</v>
      </c>
      <c r="M195" s="20" t="s">
        <v>606</v>
      </c>
      <c r="N195" s="20" t="s">
        <v>129</v>
      </c>
      <c r="O195" s="20" t="s">
        <v>60</v>
      </c>
      <c r="P195" s="20" t="s">
        <v>1300</v>
      </c>
      <c r="Q195" s="20" t="s">
        <v>1301</v>
      </c>
      <c r="R195" s="20" t="s">
        <v>783</v>
      </c>
      <c r="S195" s="20" t="s">
        <v>106</v>
      </c>
      <c r="T195" s="20" t="s">
        <v>63</v>
      </c>
      <c r="U195" s="20" t="s">
        <v>64</v>
      </c>
      <c r="V195" s="20" t="s">
        <v>845</v>
      </c>
      <c r="W195" s="20" t="s">
        <v>898</v>
      </c>
      <c r="X195" s="20" t="s">
        <v>965</v>
      </c>
      <c r="Y195" s="20" t="s">
        <v>63</v>
      </c>
      <c r="Z195" s="20" t="s">
        <v>1529</v>
      </c>
      <c r="AA195" s="20" t="s">
        <v>1624</v>
      </c>
      <c r="AB195" s="21">
        <v>45119</v>
      </c>
      <c r="AC195" s="20"/>
      <c r="AD195" s="20"/>
      <c r="AE195" s="27">
        <v>30</v>
      </c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 t="s">
        <v>1784</v>
      </c>
      <c r="AR195" s="20" t="s">
        <v>1784</v>
      </c>
      <c r="AS195" s="29">
        <v>8040</v>
      </c>
      <c r="AT195" s="63"/>
      <c r="AU195" s="27">
        <v>8040</v>
      </c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7"/>
      <c r="BP195" s="20"/>
      <c r="BQ195" s="20"/>
      <c r="BR195" s="20"/>
      <c r="BS195" s="27">
        <v>48.03</v>
      </c>
      <c r="BT195" s="20"/>
      <c r="BU195" s="20"/>
      <c r="BV195" s="20"/>
      <c r="BW195" s="20"/>
      <c r="BX195" s="20"/>
      <c r="BY195" s="28">
        <v>8088.03</v>
      </c>
      <c r="BZ195" s="20"/>
      <c r="CA195" s="20"/>
      <c r="CB195" s="20"/>
      <c r="CC195" s="27">
        <v>765.91</v>
      </c>
      <c r="CD195" s="20"/>
      <c r="CE195" s="27">
        <v>804</v>
      </c>
      <c r="CF195" s="20"/>
      <c r="CG195" s="27">
        <v>110.15</v>
      </c>
      <c r="CH195" s="20"/>
      <c r="CI195" s="20"/>
      <c r="CJ195" s="20"/>
      <c r="CK195" s="20"/>
      <c r="CL195" s="20"/>
      <c r="CM195" s="27"/>
      <c r="CN195" s="20"/>
      <c r="CO195" s="20"/>
      <c r="CP195" s="20"/>
      <c r="CQ195" s="20"/>
      <c r="CR195" s="27">
        <v>48.03</v>
      </c>
      <c r="CS195" s="20"/>
      <c r="CT195" s="20"/>
      <c r="CU195" s="20"/>
      <c r="CV195" s="20"/>
      <c r="CW195" s="20"/>
      <c r="CX195" s="20"/>
      <c r="CY195" s="28">
        <v>1728.09</v>
      </c>
      <c r="CZ195" s="27">
        <v>542.70000000000005</v>
      </c>
      <c r="DA195" s="27">
        <v>180.9</v>
      </c>
      <c r="DB195" s="27">
        <v>28.14</v>
      </c>
      <c r="DC195" s="27">
        <v>47.44</v>
      </c>
      <c r="DD195" s="20"/>
      <c r="DE195" s="27">
        <v>27.34</v>
      </c>
      <c r="DF195" s="28">
        <v>826.52</v>
      </c>
      <c r="DG195" s="28">
        <v>6359.94</v>
      </c>
    </row>
    <row r="196" spans="1:111" s="31" customFormat="1" ht="14.5" x14ac:dyDescent="0.35">
      <c r="B196" s="20">
        <v>190</v>
      </c>
      <c r="C196" s="20" t="s">
        <v>187</v>
      </c>
      <c r="D196" s="20" t="s">
        <v>105</v>
      </c>
      <c r="E196" s="20" t="s">
        <v>307</v>
      </c>
      <c r="F196" s="20" t="s">
        <v>738</v>
      </c>
      <c r="G196" s="20" t="s">
        <v>739</v>
      </c>
      <c r="H196" s="20" t="s">
        <v>740</v>
      </c>
      <c r="I196" s="20" t="s">
        <v>58</v>
      </c>
      <c r="J196" s="20" t="s">
        <v>307</v>
      </c>
      <c r="K196" s="20" t="s">
        <v>59</v>
      </c>
      <c r="L196" s="21">
        <v>31643</v>
      </c>
      <c r="M196" s="20" t="s">
        <v>741</v>
      </c>
      <c r="N196" s="20" t="s">
        <v>129</v>
      </c>
      <c r="O196" s="20" t="s">
        <v>67</v>
      </c>
      <c r="P196" s="20" t="s">
        <v>358</v>
      </c>
      <c r="Q196" s="20" t="s">
        <v>359</v>
      </c>
      <c r="R196" s="20" t="s">
        <v>779</v>
      </c>
      <c r="S196" s="20" t="s">
        <v>782</v>
      </c>
      <c r="T196" s="20" t="s">
        <v>65</v>
      </c>
      <c r="U196" s="20" t="s">
        <v>73</v>
      </c>
      <c r="V196" s="20" t="s">
        <v>883</v>
      </c>
      <c r="W196" s="20" t="s">
        <v>893</v>
      </c>
      <c r="X196" s="20" t="s">
        <v>1013</v>
      </c>
      <c r="Y196" s="20" t="s">
        <v>63</v>
      </c>
      <c r="Z196" s="20" t="s">
        <v>1529</v>
      </c>
      <c r="AA196" s="20" t="s">
        <v>1691</v>
      </c>
      <c r="AB196" s="21">
        <v>45544</v>
      </c>
      <c r="AC196" s="20"/>
      <c r="AD196" s="20"/>
      <c r="AE196" s="27">
        <v>30</v>
      </c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 t="s">
        <v>1784</v>
      </c>
      <c r="AR196" s="20" t="s">
        <v>1784</v>
      </c>
      <c r="AS196" s="29">
        <v>21663</v>
      </c>
      <c r="AT196" s="63">
        <v>113</v>
      </c>
      <c r="AU196" s="27">
        <v>21663</v>
      </c>
      <c r="AV196" s="20">
        <v>113</v>
      </c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7">
        <v>175.5</v>
      </c>
      <c r="BP196" s="20"/>
      <c r="BQ196" s="20"/>
      <c r="BR196" s="20"/>
      <c r="BS196" s="27">
        <v>96.06</v>
      </c>
      <c r="BT196" s="20"/>
      <c r="BU196" s="20"/>
      <c r="BV196" s="20"/>
      <c r="BW196" s="20"/>
      <c r="BX196" s="20"/>
      <c r="BY196" s="28">
        <v>22047.56</v>
      </c>
      <c r="BZ196" s="20"/>
      <c r="CA196" s="20"/>
      <c r="CB196" s="20"/>
      <c r="CC196" s="27">
        <v>3996.03</v>
      </c>
      <c r="CD196" s="20"/>
      <c r="CE196" s="27">
        <v>2195.15</v>
      </c>
      <c r="CF196" s="20">
        <v>370.98</v>
      </c>
      <c r="CG196" s="27">
        <v>166.93</v>
      </c>
      <c r="CH196" s="20"/>
      <c r="CI196" s="20">
        <v>390.67</v>
      </c>
      <c r="CJ196" s="20"/>
      <c r="CK196" s="20"/>
      <c r="CL196" s="20"/>
      <c r="CM196" s="27">
        <v>175.5</v>
      </c>
      <c r="CN196" s="20"/>
      <c r="CO196" s="20"/>
      <c r="CP196" s="20"/>
      <c r="CQ196" s="20"/>
      <c r="CR196" s="27">
        <v>96.06</v>
      </c>
      <c r="CS196" s="20"/>
      <c r="CT196" s="20"/>
      <c r="CU196" s="20"/>
      <c r="CV196" s="20"/>
      <c r="CW196" s="20"/>
      <c r="CX196" s="20"/>
      <c r="CY196" s="28">
        <v>7391.32</v>
      </c>
      <c r="CZ196" s="27">
        <v>1481.73</v>
      </c>
      <c r="DA196" s="27">
        <v>493.91</v>
      </c>
      <c r="DB196" s="27">
        <v>42.65</v>
      </c>
      <c r="DC196" s="27">
        <v>129.51</v>
      </c>
      <c r="DD196" s="20">
        <v>164.64</v>
      </c>
      <c r="DE196" s="27">
        <v>41.43</v>
      </c>
      <c r="DF196" s="28">
        <v>2353.87</v>
      </c>
      <c r="DG196" s="28">
        <v>14656.24</v>
      </c>
    </row>
    <row r="197" spans="1:111" s="31" customFormat="1" ht="14.5" x14ac:dyDescent="0.35">
      <c r="B197" s="20">
        <v>191</v>
      </c>
      <c r="C197" s="20" t="s">
        <v>187</v>
      </c>
      <c r="D197" s="20" t="s">
        <v>105</v>
      </c>
      <c r="E197" s="20" t="s">
        <v>308</v>
      </c>
      <c r="F197" s="20" t="s">
        <v>742</v>
      </c>
      <c r="G197" s="20" t="s">
        <v>399</v>
      </c>
      <c r="H197" s="20" t="s">
        <v>743</v>
      </c>
      <c r="I197" s="20" t="s">
        <v>58</v>
      </c>
      <c r="J197" s="20" t="s">
        <v>308</v>
      </c>
      <c r="K197" s="20" t="s">
        <v>66</v>
      </c>
      <c r="L197" s="21">
        <v>35680</v>
      </c>
      <c r="M197" s="20" t="s">
        <v>1121</v>
      </c>
      <c r="N197" s="20" t="s">
        <v>129</v>
      </c>
      <c r="O197" s="20" t="s">
        <v>70</v>
      </c>
      <c r="P197" s="20" t="s">
        <v>744</v>
      </c>
      <c r="Q197" s="20" t="s">
        <v>745</v>
      </c>
      <c r="R197" s="20" t="s">
        <v>783</v>
      </c>
      <c r="S197" s="20" t="s">
        <v>106</v>
      </c>
      <c r="T197" s="20" t="s">
        <v>137</v>
      </c>
      <c r="U197" s="20" t="s">
        <v>64</v>
      </c>
      <c r="V197" s="20" t="s">
        <v>1508</v>
      </c>
      <c r="W197" s="20" t="s">
        <v>896</v>
      </c>
      <c r="X197" s="20" t="s">
        <v>1014</v>
      </c>
      <c r="Y197" s="20" t="s">
        <v>1692</v>
      </c>
      <c r="Z197" s="20" t="s">
        <v>1529</v>
      </c>
      <c r="AA197" s="20" t="s">
        <v>1693</v>
      </c>
      <c r="AB197" s="21">
        <v>45041</v>
      </c>
      <c r="AC197" s="20"/>
      <c r="AD197" s="20"/>
      <c r="AE197" s="27">
        <v>27</v>
      </c>
      <c r="AF197" s="20"/>
      <c r="AG197" s="20">
        <v>2</v>
      </c>
      <c r="AH197" s="20"/>
      <c r="AI197" s="20"/>
      <c r="AJ197" s="20">
        <v>1</v>
      </c>
      <c r="AK197" s="20"/>
      <c r="AL197" s="20"/>
      <c r="AM197" s="20"/>
      <c r="AN197" s="20"/>
      <c r="AO197" s="20"/>
      <c r="AP197" s="20"/>
      <c r="AQ197" s="20" t="s">
        <v>1784</v>
      </c>
      <c r="AR197" s="20" t="s">
        <v>1784</v>
      </c>
      <c r="AS197" s="29">
        <v>6200</v>
      </c>
      <c r="AT197" s="63"/>
      <c r="AU197" s="27">
        <v>5580</v>
      </c>
      <c r="AV197" s="20"/>
      <c r="AW197" s="20"/>
      <c r="AX197" s="20"/>
      <c r="AY197" s="20"/>
      <c r="AZ197" s="20">
        <v>413.33</v>
      </c>
      <c r="BA197" s="20"/>
      <c r="BB197" s="20">
        <v>206.67</v>
      </c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7">
        <v>13.5</v>
      </c>
      <c r="BP197" s="20"/>
      <c r="BQ197" s="20"/>
      <c r="BR197" s="20"/>
      <c r="BS197" s="27">
        <v>48.03</v>
      </c>
      <c r="BT197" s="20">
        <v>100</v>
      </c>
      <c r="BU197" s="20"/>
      <c r="BV197" s="20"/>
      <c r="BW197" s="20"/>
      <c r="BX197" s="20"/>
      <c r="BY197" s="28">
        <v>6361.53</v>
      </c>
      <c r="BZ197" s="20"/>
      <c r="CA197" s="20"/>
      <c r="CB197" s="20"/>
      <c r="CC197" s="27">
        <v>468.01</v>
      </c>
      <c r="CD197" s="20"/>
      <c r="CE197" s="27">
        <v>621.35</v>
      </c>
      <c r="CF197" s="20"/>
      <c r="CG197" s="27">
        <v>85.13</v>
      </c>
      <c r="CH197" s="20"/>
      <c r="CI197" s="20"/>
      <c r="CJ197" s="20"/>
      <c r="CK197" s="20"/>
      <c r="CL197" s="20"/>
      <c r="CM197" s="27">
        <v>13.5</v>
      </c>
      <c r="CN197" s="20"/>
      <c r="CO197" s="20"/>
      <c r="CP197" s="20"/>
      <c r="CQ197" s="20"/>
      <c r="CR197" s="27">
        <v>48.03</v>
      </c>
      <c r="CS197" s="20"/>
      <c r="CT197" s="20"/>
      <c r="CU197" s="20"/>
      <c r="CV197" s="20">
        <v>100</v>
      </c>
      <c r="CW197" s="20"/>
      <c r="CX197" s="20"/>
      <c r="CY197" s="28">
        <v>1336.02</v>
      </c>
      <c r="CZ197" s="27">
        <v>419.41</v>
      </c>
      <c r="DA197" s="27">
        <v>139.80000000000001</v>
      </c>
      <c r="DB197" s="27">
        <v>21.75</v>
      </c>
      <c r="DC197" s="27">
        <v>36.659999999999997</v>
      </c>
      <c r="DD197" s="20"/>
      <c r="DE197" s="27">
        <v>21.13</v>
      </c>
      <c r="DF197" s="28">
        <v>638.75</v>
      </c>
      <c r="DG197" s="28">
        <v>5025.51</v>
      </c>
    </row>
    <row r="198" spans="1:111" s="31" customFormat="1" ht="14.5" x14ac:dyDescent="0.35">
      <c r="B198" s="20">
        <v>129</v>
      </c>
      <c r="C198" s="20" t="s">
        <v>187</v>
      </c>
      <c r="D198" s="20" t="s">
        <v>105</v>
      </c>
      <c r="E198" s="20" t="s">
        <v>1435</v>
      </c>
      <c r="F198" s="20" t="s">
        <v>1436</v>
      </c>
      <c r="G198" s="20" t="s">
        <v>1437</v>
      </c>
      <c r="H198" s="20" t="s">
        <v>1438</v>
      </c>
      <c r="I198" s="20" t="s">
        <v>58</v>
      </c>
      <c r="J198" s="20" t="s">
        <v>1435</v>
      </c>
      <c r="K198" s="20" t="s">
        <v>59</v>
      </c>
      <c r="L198" s="21">
        <v>36425</v>
      </c>
      <c r="M198" s="20" t="s">
        <v>1439</v>
      </c>
      <c r="N198" s="20" t="s">
        <v>129</v>
      </c>
      <c r="O198" s="20" t="s">
        <v>60</v>
      </c>
      <c r="P198" s="20" t="s">
        <v>1440</v>
      </c>
      <c r="Q198" s="20" t="s">
        <v>1441</v>
      </c>
      <c r="R198" s="20" t="s">
        <v>783</v>
      </c>
      <c r="S198" s="20" t="s">
        <v>787</v>
      </c>
      <c r="T198" s="20" t="s">
        <v>63</v>
      </c>
      <c r="U198" s="20" t="s">
        <v>64</v>
      </c>
      <c r="V198" s="20" t="s">
        <v>1442</v>
      </c>
      <c r="W198" s="20" t="s">
        <v>893</v>
      </c>
      <c r="X198" s="20" t="s">
        <v>1443</v>
      </c>
      <c r="Y198" s="20"/>
      <c r="Z198" s="20"/>
      <c r="AA198" s="20"/>
      <c r="AB198" s="21">
        <v>45839</v>
      </c>
      <c r="AC198" s="20"/>
      <c r="AD198" s="20"/>
      <c r="AE198" s="27">
        <v>30</v>
      </c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 t="s">
        <v>1784</v>
      </c>
      <c r="AR198" s="20" t="s">
        <v>1784</v>
      </c>
      <c r="AS198" s="29">
        <v>2240</v>
      </c>
      <c r="AT198" s="63"/>
      <c r="AU198" s="27">
        <v>2240</v>
      </c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>
        <v>520</v>
      </c>
      <c r="BH198" s="20"/>
      <c r="BI198" s="20"/>
      <c r="BJ198" s="20"/>
      <c r="BK198" s="20"/>
      <c r="BL198" s="20"/>
      <c r="BM198" s="20"/>
      <c r="BN198" s="20"/>
      <c r="BO198" s="27"/>
      <c r="BP198" s="20"/>
      <c r="BQ198" s="20"/>
      <c r="BR198" s="20"/>
      <c r="BS198" s="27">
        <v>48.03</v>
      </c>
      <c r="BT198" s="20">
        <v>100</v>
      </c>
      <c r="BU198" s="20">
        <v>960</v>
      </c>
      <c r="BV198" s="20"/>
      <c r="BW198" s="20"/>
      <c r="BX198" s="20"/>
      <c r="BY198" s="28">
        <v>3868.03</v>
      </c>
      <c r="BZ198" s="20"/>
      <c r="CA198" s="20"/>
      <c r="CB198" s="20"/>
      <c r="CC198" s="27"/>
      <c r="CD198" s="20"/>
      <c r="CE198" s="27">
        <v>320</v>
      </c>
      <c r="CF198" s="20"/>
      <c r="CG198" s="27">
        <v>43.84</v>
      </c>
      <c r="CH198" s="20"/>
      <c r="CI198" s="20"/>
      <c r="CJ198" s="20"/>
      <c r="CK198" s="20"/>
      <c r="CL198" s="20"/>
      <c r="CM198" s="27"/>
      <c r="CN198" s="20"/>
      <c r="CO198" s="20"/>
      <c r="CP198" s="20"/>
      <c r="CQ198" s="20"/>
      <c r="CR198" s="27">
        <v>48.03</v>
      </c>
      <c r="CS198" s="20"/>
      <c r="CT198" s="20"/>
      <c r="CU198" s="20"/>
      <c r="CV198" s="20">
        <v>100</v>
      </c>
      <c r="CW198" s="20"/>
      <c r="CX198" s="20"/>
      <c r="CY198" s="28">
        <v>511.87</v>
      </c>
      <c r="CZ198" s="27">
        <v>216</v>
      </c>
      <c r="DA198" s="27">
        <v>72</v>
      </c>
      <c r="DB198" s="27">
        <v>11.2</v>
      </c>
      <c r="DC198" s="27">
        <v>18.88</v>
      </c>
      <c r="DD198" s="20"/>
      <c r="DE198" s="27">
        <v>10.88</v>
      </c>
      <c r="DF198" s="28">
        <v>328.96</v>
      </c>
      <c r="DG198" s="28">
        <v>3356.16</v>
      </c>
    </row>
    <row r="199" spans="1:111" s="31" customFormat="1" ht="14.5" x14ac:dyDescent="0.35">
      <c r="B199" s="20">
        <v>193</v>
      </c>
      <c r="C199" s="20" t="s">
        <v>187</v>
      </c>
      <c r="D199" s="20" t="s">
        <v>105</v>
      </c>
      <c r="E199" s="20" t="s">
        <v>309</v>
      </c>
      <c r="F199" s="20" t="s">
        <v>747</v>
      </c>
      <c r="G199" s="20" t="s">
        <v>748</v>
      </c>
      <c r="H199" s="20" t="s">
        <v>749</v>
      </c>
      <c r="I199" s="20" t="s">
        <v>58</v>
      </c>
      <c r="J199" s="20" t="s">
        <v>309</v>
      </c>
      <c r="K199" s="20" t="s">
        <v>66</v>
      </c>
      <c r="L199" s="21">
        <v>35287</v>
      </c>
      <c r="M199" s="20" t="s">
        <v>502</v>
      </c>
      <c r="N199" s="20" t="s">
        <v>129</v>
      </c>
      <c r="O199" s="20" t="s">
        <v>67</v>
      </c>
      <c r="P199" s="20" t="s">
        <v>358</v>
      </c>
      <c r="Q199" s="20" t="s">
        <v>359</v>
      </c>
      <c r="R199" s="20" t="s">
        <v>783</v>
      </c>
      <c r="S199" s="20" t="s">
        <v>787</v>
      </c>
      <c r="T199" s="20" t="s">
        <v>65</v>
      </c>
      <c r="U199" s="20" t="s">
        <v>73</v>
      </c>
      <c r="V199" s="20" t="s">
        <v>1361</v>
      </c>
      <c r="W199" s="20" t="s">
        <v>891</v>
      </c>
      <c r="X199" s="20" t="s">
        <v>1015</v>
      </c>
      <c r="Y199" s="20" t="s">
        <v>138</v>
      </c>
      <c r="Z199" s="20" t="s">
        <v>1529</v>
      </c>
      <c r="AA199" s="20" t="s">
        <v>1694</v>
      </c>
      <c r="AB199" s="21">
        <v>45414</v>
      </c>
      <c r="AC199" s="20"/>
      <c r="AD199" s="20"/>
      <c r="AE199" s="27">
        <v>23</v>
      </c>
      <c r="AF199" s="20"/>
      <c r="AG199" s="20">
        <v>7</v>
      </c>
      <c r="AH199" s="20"/>
      <c r="AI199" s="20"/>
      <c r="AJ199" s="20"/>
      <c r="AK199" s="20"/>
      <c r="AL199" s="20"/>
      <c r="AM199" s="20"/>
      <c r="AN199" s="20"/>
      <c r="AO199" s="20"/>
      <c r="AP199" s="20"/>
      <c r="AQ199" s="20" t="s">
        <v>1784</v>
      </c>
      <c r="AR199" s="20" t="s">
        <v>1784</v>
      </c>
      <c r="AS199" s="29">
        <v>3990</v>
      </c>
      <c r="AT199" s="63"/>
      <c r="AU199" s="27">
        <v>3059</v>
      </c>
      <c r="AV199" s="20"/>
      <c r="AW199" s="20"/>
      <c r="AX199" s="20"/>
      <c r="AY199" s="20"/>
      <c r="AZ199" s="20">
        <v>1033.2</v>
      </c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7">
        <v>279.5</v>
      </c>
      <c r="BP199" s="20"/>
      <c r="BQ199" s="20"/>
      <c r="BR199" s="20"/>
      <c r="BS199" s="27">
        <v>48.03</v>
      </c>
      <c r="BT199" s="20"/>
      <c r="BU199" s="20"/>
      <c r="BV199" s="20"/>
      <c r="BW199" s="20"/>
      <c r="BX199" s="20"/>
      <c r="BY199" s="28">
        <v>4419.7299999999996</v>
      </c>
      <c r="BZ199" s="20"/>
      <c r="CA199" s="20"/>
      <c r="CB199" s="20"/>
      <c r="CC199" s="27">
        <v>166.21</v>
      </c>
      <c r="CD199" s="20"/>
      <c r="CE199" s="27">
        <v>437.17</v>
      </c>
      <c r="CF199" s="20"/>
      <c r="CG199" s="27">
        <v>59.89</v>
      </c>
      <c r="CH199" s="20"/>
      <c r="CI199" s="20"/>
      <c r="CJ199" s="20"/>
      <c r="CK199" s="20"/>
      <c r="CL199" s="20"/>
      <c r="CM199" s="27">
        <v>279.5</v>
      </c>
      <c r="CN199" s="20"/>
      <c r="CO199" s="20"/>
      <c r="CP199" s="20"/>
      <c r="CQ199" s="20"/>
      <c r="CR199" s="27">
        <v>48.03</v>
      </c>
      <c r="CS199" s="20"/>
      <c r="CT199" s="20"/>
      <c r="CU199" s="20"/>
      <c r="CV199" s="20"/>
      <c r="CW199" s="20"/>
      <c r="CX199" s="20"/>
      <c r="CY199" s="28">
        <v>990.8</v>
      </c>
      <c r="CZ199" s="27">
        <v>295.08999999999997</v>
      </c>
      <c r="DA199" s="27">
        <v>98.36</v>
      </c>
      <c r="DB199" s="27">
        <v>15.3</v>
      </c>
      <c r="DC199" s="27">
        <v>25.79</v>
      </c>
      <c r="DD199" s="20">
        <v>32.79</v>
      </c>
      <c r="DE199" s="27">
        <v>14.86</v>
      </c>
      <c r="DF199" s="28">
        <v>482.19</v>
      </c>
      <c r="DG199" s="28">
        <v>3428.93</v>
      </c>
    </row>
    <row r="200" spans="1:111" s="31" customFormat="1" ht="14.5" x14ac:dyDescent="0.35">
      <c r="B200" s="20">
        <v>194</v>
      </c>
      <c r="C200" s="20" t="s">
        <v>187</v>
      </c>
      <c r="D200" s="20" t="s">
        <v>105</v>
      </c>
      <c r="E200" s="20" t="s">
        <v>310</v>
      </c>
      <c r="F200" s="20" t="s">
        <v>709</v>
      </c>
      <c r="G200" s="20" t="s">
        <v>750</v>
      </c>
      <c r="H200" s="20" t="s">
        <v>751</v>
      </c>
      <c r="I200" s="20" t="s">
        <v>58</v>
      </c>
      <c r="J200" s="20" t="s">
        <v>310</v>
      </c>
      <c r="K200" s="20" t="s">
        <v>59</v>
      </c>
      <c r="L200" s="21">
        <v>22330</v>
      </c>
      <c r="M200" s="20" t="s">
        <v>752</v>
      </c>
      <c r="N200" s="20" t="s">
        <v>129</v>
      </c>
      <c r="O200" s="20" t="s">
        <v>558</v>
      </c>
      <c r="P200" s="20" t="s">
        <v>559</v>
      </c>
      <c r="Q200" s="20" t="s">
        <v>560</v>
      </c>
      <c r="R200" s="20" t="s">
        <v>783</v>
      </c>
      <c r="S200" s="20" t="s">
        <v>782</v>
      </c>
      <c r="T200" s="20" t="s">
        <v>127</v>
      </c>
      <c r="U200" s="20" t="s">
        <v>64</v>
      </c>
      <c r="V200" s="20" t="s">
        <v>884</v>
      </c>
      <c r="W200" s="20" t="s">
        <v>891</v>
      </c>
      <c r="X200" s="20" t="s">
        <v>1016</v>
      </c>
      <c r="Y200" s="20" t="s">
        <v>65</v>
      </c>
      <c r="Z200" s="20" t="s">
        <v>1529</v>
      </c>
      <c r="AA200" s="20" t="s">
        <v>1695</v>
      </c>
      <c r="AB200" s="21">
        <v>45048</v>
      </c>
      <c r="AC200" s="20"/>
      <c r="AD200" s="20"/>
      <c r="AE200" s="27">
        <v>30</v>
      </c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 t="s">
        <v>1784</v>
      </c>
      <c r="AR200" s="20" t="s">
        <v>1784</v>
      </c>
      <c r="AS200" s="29">
        <v>3786</v>
      </c>
      <c r="AT200" s="63">
        <v>113</v>
      </c>
      <c r="AU200" s="27">
        <v>3786</v>
      </c>
      <c r="AV200" s="20">
        <v>113</v>
      </c>
      <c r="AW200" s="20"/>
      <c r="AX200" s="20"/>
      <c r="AY200" s="20"/>
      <c r="AZ200" s="20"/>
      <c r="BA200" s="20"/>
      <c r="BB200" s="20"/>
      <c r="BC200" s="20"/>
      <c r="BD200" s="20"/>
      <c r="BE200" s="20">
        <v>250</v>
      </c>
      <c r="BF200" s="20"/>
      <c r="BG200" s="20"/>
      <c r="BH200" s="20"/>
      <c r="BI200" s="20"/>
      <c r="BJ200" s="20"/>
      <c r="BK200" s="20"/>
      <c r="BL200" s="20"/>
      <c r="BM200" s="20"/>
      <c r="BN200" s="20"/>
      <c r="BO200" s="27"/>
      <c r="BP200" s="20"/>
      <c r="BQ200" s="20"/>
      <c r="BR200" s="20"/>
      <c r="BS200" s="27">
        <v>48.03</v>
      </c>
      <c r="BT200" s="20"/>
      <c r="BU200" s="20"/>
      <c r="BV200" s="20"/>
      <c r="BW200" s="20"/>
      <c r="BX200" s="20"/>
      <c r="BY200" s="28">
        <v>4197.03</v>
      </c>
      <c r="BZ200" s="20"/>
      <c r="CA200" s="20"/>
      <c r="CB200" s="20"/>
      <c r="CC200" s="27">
        <v>168</v>
      </c>
      <c r="CD200" s="20"/>
      <c r="CE200" s="27">
        <v>414.9</v>
      </c>
      <c r="CF200" s="20"/>
      <c r="CG200" s="27">
        <v>56.84</v>
      </c>
      <c r="CH200" s="20"/>
      <c r="CI200" s="20"/>
      <c r="CJ200" s="20"/>
      <c r="CK200" s="20"/>
      <c r="CL200" s="20"/>
      <c r="CM200" s="27"/>
      <c r="CN200" s="20"/>
      <c r="CO200" s="20"/>
      <c r="CP200" s="20"/>
      <c r="CQ200" s="20">
        <v>350</v>
      </c>
      <c r="CR200" s="27">
        <v>48.03</v>
      </c>
      <c r="CS200" s="20"/>
      <c r="CT200" s="20"/>
      <c r="CU200" s="20"/>
      <c r="CV200" s="20"/>
      <c r="CW200" s="20"/>
      <c r="CX200" s="20"/>
      <c r="CY200" s="28">
        <v>1037.77</v>
      </c>
      <c r="CZ200" s="27">
        <v>280.06</v>
      </c>
      <c r="DA200" s="27">
        <v>93.35</v>
      </c>
      <c r="DB200" s="27">
        <v>14.52</v>
      </c>
      <c r="DC200" s="27">
        <v>24.48</v>
      </c>
      <c r="DD200" s="20"/>
      <c r="DE200" s="27">
        <v>14.11</v>
      </c>
      <c r="DF200" s="28">
        <v>426.52</v>
      </c>
      <c r="DG200" s="28">
        <v>3159.26</v>
      </c>
    </row>
    <row r="201" spans="1:111" s="31" customFormat="1" ht="14.5" x14ac:dyDescent="0.35">
      <c r="B201" s="32">
        <v>79</v>
      </c>
      <c r="C201" s="32" t="s">
        <v>187</v>
      </c>
      <c r="D201" s="32" t="s">
        <v>105</v>
      </c>
      <c r="E201" s="32" t="s">
        <v>241</v>
      </c>
      <c r="F201" s="32" t="s">
        <v>545</v>
      </c>
      <c r="G201" s="32" t="s">
        <v>546</v>
      </c>
      <c r="H201" s="32" t="s">
        <v>547</v>
      </c>
      <c r="I201" s="32" t="s">
        <v>58</v>
      </c>
      <c r="J201" s="32" t="s">
        <v>241</v>
      </c>
      <c r="K201" s="32" t="s">
        <v>66</v>
      </c>
      <c r="L201" s="37">
        <v>36343</v>
      </c>
      <c r="M201" s="32" t="s">
        <v>1389</v>
      </c>
      <c r="N201" s="32" t="s">
        <v>129</v>
      </c>
      <c r="O201" s="32" t="s">
        <v>60</v>
      </c>
      <c r="P201" s="32" t="s">
        <v>76</v>
      </c>
      <c r="Q201" s="32" t="s">
        <v>77</v>
      </c>
      <c r="R201" s="32" t="s">
        <v>783</v>
      </c>
      <c r="S201" s="32" t="s">
        <v>106</v>
      </c>
      <c r="T201" s="32" t="s">
        <v>96</v>
      </c>
      <c r="U201" s="32" t="s">
        <v>64</v>
      </c>
      <c r="V201" s="32" t="s">
        <v>829</v>
      </c>
      <c r="W201" s="32" t="s">
        <v>891</v>
      </c>
      <c r="X201" s="32" t="s">
        <v>948</v>
      </c>
      <c r="Y201" s="32" t="s">
        <v>63</v>
      </c>
      <c r="Z201" s="32" t="s">
        <v>1529</v>
      </c>
      <c r="AA201" s="32" t="s">
        <v>1603</v>
      </c>
      <c r="AB201" s="37">
        <v>44788</v>
      </c>
      <c r="AC201" s="50">
        <v>45912</v>
      </c>
      <c r="AD201" s="32" t="s">
        <v>1023</v>
      </c>
      <c r="AE201" s="36">
        <v>12</v>
      </c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 t="s">
        <v>1784</v>
      </c>
      <c r="AR201" s="32" t="s">
        <v>1784</v>
      </c>
      <c r="AS201" s="38">
        <v>4961</v>
      </c>
      <c r="AT201" s="68"/>
      <c r="AU201" s="36">
        <v>1984.4</v>
      </c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6"/>
      <c r="BP201" s="32"/>
      <c r="BQ201" s="32"/>
      <c r="BR201" s="32"/>
      <c r="BS201" s="36"/>
      <c r="BT201" s="32"/>
      <c r="BU201" s="32"/>
      <c r="BV201" s="32"/>
      <c r="BW201" s="32"/>
      <c r="BX201" s="32"/>
      <c r="BY201" s="39">
        <v>1984.4</v>
      </c>
      <c r="BZ201" s="32"/>
      <c r="CA201" s="32"/>
      <c r="CB201" s="32"/>
      <c r="CC201" s="36"/>
      <c r="CD201" s="32"/>
      <c r="CE201" s="36">
        <v>198.44</v>
      </c>
      <c r="CF201" s="32"/>
      <c r="CG201" s="36">
        <v>27.19</v>
      </c>
      <c r="CH201" s="32"/>
      <c r="CI201" s="32"/>
      <c r="CJ201" s="32"/>
      <c r="CK201" s="32"/>
      <c r="CL201" s="32"/>
      <c r="CM201" s="36"/>
      <c r="CN201" s="32"/>
      <c r="CO201" s="32"/>
      <c r="CP201" s="32"/>
      <c r="CQ201" s="32"/>
      <c r="CR201" s="36"/>
      <c r="CS201" s="32"/>
      <c r="CT201" s="32"/>
      <c r="CU201" s="32"/>
      <c r="CV201" s="32"/>
      <c r="CW201" s="32"/>
      <c r="CX201" s="32"/>
      <c r="CY201" s="39">
        <v>225.63</v>
      </c>
      <c r="CZ201" s="36">
        <v>133.94999999999999</v>
      </c>
      <c r="DA201" s="36">
        <v>44.65</v>
      </c>
      <c r="DB201" s="36">
        <v>6.95</v>
      </c>
      <c r="DC201" s="36">
        <v>11.71</v>
      </c>
      <c r="DD201" s="32"/>
      <c r="DE201" s="36">
        <v>6.75</v>
      </c>
      <c r="DF201" s="39">
        <v>204.01</v>
      </c>
      <c r="DG201" s="39">
        <v>1758.77</v>
      </c>
    </row>
    <row r="202" spans="1:111" s="31" customFormat="1" ht="14.5" x14ac:dyDescent="0.35">
      <c r="B202" s="20">
        <v>196</v>
      </c>
      <c r="C202" s="20" t="s">
        <v>187</v>
      </c>
      <c r="D202" s="20" t="s">
        <v>105</v>
      </c>
      <c r="E202" s="20" t="s">
        <v>311</v>
      </c>
      <c r="F202" s="20" t="s">
        <v>753</v>
      </c>
      <c r="G202" s="20" t="s">
        <v>754</v>
      </c>
      <c r="H202" s="20" t="s">
        <v>755</v>
      </c>
      <c r="I202" s="20" t="s">
        <v>58</v>
      </c>
      <c r="J202" s="20" t="s">
        <v>311</v>
      </c>
      <c r="K202" s="20" t="s">
        <v>66</v>
      </c>
      <c r="L202" s="21">
        <v>30583</v>
      </c>
      <c r="M202" s="20" t="s">
        <v>756</v>
      </c>
      <c r="N202" s="20" t="s">
        <v>327</v>
      </c>
      <c r="O202" s="20" t="s">
        <v>75</v>
      </c>
      <c r="P202" s="20" t="s">
        <v>757</v>
      </c>
      <c r="Q202" s="20" t="s">
        <v>758</v>
      </c>
      <c r="R202" s="20" t="s">
        <v>779</v>
      </c>
      <c r="S202" s="20" t="s">
        <v>780</v>
      </c>
      <c r="T202" s="20" t="s">
        <v>65</v>
      </c>
      <c r="U202" s="20" t="s">
        <v>73</v>
      </c>
      <c r="V202" s="20" t="s">
        <v>1256</v>
      </c>
      <c r="W202" s="20" t="s">
        <v>896</v>
      </c>
      <c r="X202" s="20" t="s">
        <v>1017</v>
      </c>
      <c r="Y202" s="20" t="s">
        <v>65</v>
      </c>
      <c r="Z202" s="20" t="s">
        <v>1529</v>
      </c>
      <c r="AA202" s="20" t="s">
        <v>1697</v>
      </c>
      <c r="AB202" s="21">
        <v>44361</v>
      </c>
      <c r="AC202" s="20"/>
      <c r="AD202" s="20"/>
      <c r="AE202" s="27">
        <v>29</v>
      </c>
      <c r="AF202" s="20"/>
      <c r="AG202" s="20"/>
      <c r="AH202" s="20"/>
      <c r="AI202" s="20"/>
      <c r="AJ202" s="20">
        <v>1</v>
      </c>
      <c r="AK202" s="20"/>
      <c r="AL202" s="20"/>
      <c r="AM202" s="20"/>
      <c r="AN202" s="20"/>
      <c r="AO202" s="20"/>
      <c r="AP202" s="20"/>
      <c r="AQ202" s="20" t="s">
        <v>1784</v>
      </c>
      <c r="AR202" s="20" t="s">
        <v>1784</v>
      </c>
      <c r="AS202" s="29">
        <v>7049</v>
      </c>
      <c r="AT202" s="63">
        <v>113</v>
      </c>
      <c r="AU202" s="27">
        <v>6814.03</v>
      </c>
      <c r="AV202" s="20">
        <v>113</v>
      </c>
      <c r="AW202" s="20"/>
      <c r="AX202" s="20"/>
      <c r="AY202" s="20"/>
      <c r="AZ202" s="20"/>
      <c r="BA202" s="20"/>
      <c r="BB202" s="20">
        <v>234.96</v>
      </c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7">
        <v>165.5</v>
      </c>
      <c r="BP202" s="20"/>
      <c r="BQ202" s="20"/>
      <c r="BR202" s="20"/>
      <c r="BS202" s="27">
        <v>48.03</v>
      </c>
      <c r="BT202" s="20">
        <v>100</v>
      </c>
      <c r="BU202" s="20"/>
      <c r="BV202" s="20"/>
      <c r="BW202" s="20"/>
      <c r="BX202" s="20"/>
      <c r="BY202" s="28">
        <v>7475.52</v>
      </c>
      <c r="BZ202" s="20"/>
      <c r="CA202" s="20"/>
      <c r="CB202" s="20"/>
      <c r="CC202" s="27">
        <v>650.80999999999995</v>
      </c>
      <c r="CD202" s="20"/>
      <c r="CE202" s="27">
        <v>732.75</v>
      </c>
      <c r="CF202" s="20">
        <v>107.71</v>
      </c>
      <c r="CG202" s="27">
        <v>100.39</v>
      </c>
      <c r="CH202" s="20"/>
      <c r="CI202" s="20"/>
      <c r="CJ202" s="20"/>
      <c r="CK202" s="20"/>
      <c r="CL202" s="20"/>
      <c r="CM202" s="27">
        <v>165.5</v>
      </c>
      <c r="CN202" s="20"/>
      <c r="CO202" s="20"/>
      <c r="CP202" s="20"/>
      <c r="CQ202" s="20"/>
      <c r="CR202" s="27">
        <v>48.03</v>
      </c>
      <c r="CS202" s="20">
        <v>4.9000000000000004</v>
      </c>
      <c r="CT202" s="20"/>
      <c r="CU202" s="20"/>
      <c r="CV202" s="20">
        <v>100</v>
      </c>
      <c r="CW202" s="20"/>
      <c r="CX202" s="20"/>
      <c r="CY202" s="28">
        <v>1910.09</v>
      </c>
      <c r="CZ202" s="27">
        <v>494.61</v>
      </c>
      <c r="DA202" s="27">
        <v>164.87</v>
      </c>
      <c r="DB202" s="27">
        <v>25.65</v>
      </c>
      <c r="DC202" s="27">
        <v>43.23</v>
      </c>
      <c r="DD202" s="20"/>
      <c r="DE202" s="27">
        <v>24.91</v>
      </c>
      <c r="DF202" s="28">
        <v>753.27</v>
      </c>
      <c r="DG202" s="28">
        <v>5565.43</v>
      </c>
    </row>
    <row r="203" spans="1:111" s="31" customFormat="1" ht="14.5" x14ac:dyDescent="0.35">
      <c r="B203" s="20">
        <v>106</v>
      </c>
      <c r="C203" s="20" t="s">
        <v>187</v>
      </c>
      <c r="D203" s="20" t="s">
        <v>105</v>
      </c>
      <c r="E203" s="20" t="s">
        <v>261</v>
      </c>
      <c r="F203" s="20" t="s">
        <v>608</v>
      </c>
      <c r="G203" s="20" t="s">
        <v>609</v>
      </c>
      <c r="H203" s="20" t="s">
        <v>610</v>
      </c>
      <c r="I203" s="20" t="s">
        <v>58</v>
      </c>
      <c r="J203" s="20" t="s">
        <v>261</v>
      </c>
      <c r="K203" s="20" t="s">
        <v>59</v>
      </c>
      <c r="L203" s="21">
        <v>35329</v>
      </c>
      <c r="M203" s="20" t="s">
        <v>1160</v>
      </c>
      <c r="N203" s="20" t="s">
        <v>129</v>
      </c>
      <c r="O203" s="20" t="s">
        <v>60</v>
      </c>
      <c r="P203" s="20" t="s">
        <v>397</v>
      </c>
      <c r="Q203" s="20" t="s">
        <v>398</v>
      </c>
      <c r="R203" s="20" t="s">
        <v>783</v>
      </c>
      <c r="S203" s="20" t="s">
        <v>106</v>
      </c>
      <c r="T203" s="20" t="s">
        <v>63</v>
      </c>
      <c r="U203" s="20" t="s">
        <v>64</v>
      </c>
      <c r="V203" s="20" t="s">
        <v>846</v>
      </c>
      <c r="W203" s="20" t="s">
        <v>891</v>
      </c>
      <c r="X203" s="20" t="s">
        <v>966</v>
      </c>
      <c r="Y203" s="20" t="s">
        <v>63</v>
      </c>
      <c r="Z203" s="20" t="s">
        <v>1529</v>
      </c>
      <c r="AA203" s="20" t="s">
        <v>1625</v>
      </c>
      <c r="AB203" s="21">
        <v>44682</v>
      </c>
      <c r="AC203" s="20"/>
      <c r="AD203" s="20"/>
      <c r="AE203" s="27">
        <v>30</v>
      </c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 t="s">
        <v>1784</v>
      </c>
      <c r="AR203" s="20" t="s">
        <v>1784</v>
      </c>
      <c r="AS203" s="29">
        <v>4995</v>
      </c>
      <c r="AT203" s="63"/>
      <c r="AU203" s="27">
        <v>4995</v>
      </c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7"/>
      <c r="BP203" s="20"/>
      <c r="BQ203" s="20"/>
      <c r="BR203" s="20"/>
      <c r="BS203" s="27">
        <v>48.03</v>
      </c>
      <c r="BT203" s="20">
        <v>100</v>
      </c>
      <c r="BU203" s="20"/>
      <c r="BV203" s="20"/>
      <c r="BW203" s="20"/>
      <c r="BX203" s="20"/>
      <c r="BY203" s="28">
        <v>5143.03</v>
      </c>
      <c r="BZ203" s="20"/>
      <c r="CA203" s="20"/>
      <c r="CB203" s="20"/>
      <c r="CC203" s="27">
        <v>266.33999999999997</v>
      </c>
      <c r="CD203" s="20"/>
      <c r="CE203" s="27">
        <v>499.5</v>
      </c>
      <c r="CF203" s="20"/>
      <c r="CG203" s="27">
        <v>68.430000000000007</v>
      </c>
      <c r="CH203" s="20"/>
      <c r="CI203" s="20"/>
      <c r="CJ203" s="20"/>
      <c r="CK203" s="20"/>
      <c r="CL203" s="20"/>
      <c r="CM203" s="27"/>
      <c r="CN203" s="20"/>
      <c r="CO203" s="20"/>
      <c r="CP203" s="20"/>
      <c r="CQ203" s="20"/>
      <c r="CR203" s="27">
        <v>48.03</v>
      </c>
      <c r="CS203" s="20"/>
      <c r="CT203" s="20"/>
      <c r="CU203" s="20"/>
      <c r="CV203" s="20">
        <v>100</v>
      </c>
      <c r="CW203" s="20"/>
      <c r="CX203" s="20"/>
      <c r="CY203" s="28">
        <v>982.3</v>
      </c>
      <c r="CZ203" s="27">
        <v>337.16</v>
      </c>
      <c r="DA203" s="27">
        <v>112.39</v>
      </c>
      <c r="DB203" s="27">
        <v>17.48</v>
      </c>
      <c r="DC203" s="27">
        <v>29.47</v>
      </c>
      <c r="DD203" s="20"/>
      <c r="DE203" s="27">
        <v>16.98</v>
      </c>
      <c r="DF203" s="28">
        <v>513.48</v>
      </c>
      <c r="DG203" s="28">
        <v>4160.7299999999996</v>
      </c>
    </row>
    <row r="204" spans="1:111" s="31" customFormat="1" ht="14.5" x14ac:dyDescent="0.35">
      <c r="B204" s="20">
        <v>198</v>
      </c>
      <c r="C204" s="20" t="s">
        <v>187</v>
      </c>
      <c r="D204" s="20" t="s">
        <v>105</v>
      </c>
      <c r="E204" s="20" t="s">
        <v>313</v>
      </c>
      <c r="F204" s="20" t="s">
        <v>128</v>
      </c>
      <c r="G204" s="20" t="s">
        <v>763</v>
      </c>
      <c r="H204" s="20" t="s">
        <v>764</v>
      </c>
      <c r="I204" s="20" t="s">
        <v>58</v>
      </c>
      <c r="J204" s="20" t="s">
        <v>313</v>
      </c>
      <c r="K204" s="20" t="s">
        <v>66</v>
      </c>
      <c r="L204" s="21">
        <v>36507</v>
      </c>
      <c r="M204" s="20" t="s">
        <v>1395</v>
      </c>
      <c r="N204" s="20" t="s">
        <v>129</v>
      </c>
      <c r="O204" s="20" t="s">
        <v>522</v>
      </c>
      <c r="P204" s="20" t="s">
        <v>523</v>
      </c>
      <c r="Q204" s="20" t="s">
        <v>524</v>
      </c>
      <c r="R204" s="20" t="s">
        <v>783</v>
      </c>
      <c r="S204" s="20" t="s">
        <v>106</v>
      </c>
      <c r="T204" s="20" t="s">
        <v>63</v>
      </c>
      <c r="U204" s="20" t="s">
        <v>64</v>
      </c>
      <c r="V204" s="20" t="s">
        <v>886</v>
      </c>
      <c r="W204" s="20" t="s">
        <v>891</v>
      </c>
      <c r="X204" s="20" t="s">
        <v>1019</v>
      </c>
      <c r="Y204" s="20" t="s">
        <v>63</v>
      </c>
      <c r="Z204" s="20" t="s">
        <v>1529</v>
      </c>
      <c r="AA204" s="20" t="s">
        <v>1699</v>
      </c>
      <c r="AB204" s="21">
        <v>45075</v>
      </c>
      <c r="AC204" s="20"/>
      <c r="AD204" s="20"/>
      <c r="AE204" s="27">
        <v>30</v>
      </c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 t="s">
        <v>1784</v>
      </c>
      <c r="AR204" s="20" t="s">
        <v>1784</v>
      </c>
      <c r="AS204" s="29">
        <v>4985</v>
      </c>
      <c r="AT204" s="63"/>
      <c r="AU204" s="27">
        <v>4985</v>
      </c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7"/>
      <c r="BP204" s="20"/>
      <c r="BQ204" s="20"/>
      <c r="BR204" s="20"/>
      <c r="BS204" s="27">
        <v>48.03</v>
      </c>
      <c r="BT204" s="20"/>
      <c r="BU204" s="20"/>
      <c r="BV204" s="20"/>
      <c r="BW204" s="20"/>
      <c r="BX204" s="20"/>
      <c r="BY204" s="28">
        <v>5033.03</v>
      </c>
      <c r="BZ204" s="20"/>
      <c r="CA204" s="20"/>
      <c r="CB204" s="20"/>
      <c r="CC204" s="27">
        <v>265.72000000000003</v>
      </c>
      <c r="CD204" s="20"/>
      <c r="CE204" s="27">
        <v>498.5</v>
      </c>
      <c r="CF204" s="20"/>
      <c r="CG204" s="27">
        <v>68.290000000000006</v>
      </c>
      <c r="CH204" s="20"/>
      <c r="CI204" s="20"/>
      <c r="CJ204" s="20"/>
      <c r="CK204" s="20"/>
      <c r="CL204" s="20"/>
      <c r="CM204" s="27"/>
      <c r="CN204" s="20"/>
      <c r="CO204" s="20"/>
      <c r="CP204" s="20"/>
      <c r="CQ204" s="20"/>
      <c r="CR204" s="27">
        <v>48.03</v>
      </c>
      <c r="CS204" s="20"/>
      <c r="CT204" s="20"/>
      <c r="CU204" s="20"/>
      <c r="CV204" s="20"/>
      <c r="CW204" s="20"/>
      <c r="CX204" s="20"/>
      <c r="CY204" s="28">
        <v>880.54</v>
      </c>
      <c r="CZ204" s="27">
        <v>336.49</v>
      </c>
      <c r="DA204" s="27">
        <v>112.16</v>
      </c>
      <c r="DB204" s="27">
        <v>17.45</v>
      </c>
      <c r="DC204" s="27">
        <v>29.41</v>
      </c>
      <c r="DD204" s="20"/>
      <c r="DE204" s="27">
        <v>16.95</v>
      </c>
      <c r="DF204" s="28">
        <v>512.46</v>
      </c>
      <c r="DG204" s="28">
        <v>4152.49</v>
      </c>
    </row>
    <row r="205" spans="1:111" s="31" customFormat="1" ht="14.5" x14ac:dyDescent="0.35">
      <c r="B205" s="20">
        <v>197</v>
      </c>
      <c r="C205" s="20" t="s">
        <v>187</v>
      </c>
      <c r="D205" s="20" t="s">
        <v>105</v>
      </c>
      <c r="E205" s="20" t="s">
        <v>312</v>
      </c>
      <c r="F205" s="20" t="s">
        <v>759</v>
      </c>
      <c r="G205" s="20" t="s">
        <v>760</v>
      </c>
      <c r="H205" s="20" t="s">
        <v>761</v>
      </c>
      <c r="I205" s="20" t="s">
        <v>58</v>
      </c>
      <c r="J205" s="20" t="s">
        <v>312</v>
      </c>
      <c r="K205" s="20" t="s">
        <v>66</v>
      </c>
      <c r="L205" s="21">
        <v>36671</v>
      </c>
      <c r="M205" s="20" t="s">
        <v>762</v>
      </c>
      <c r="N205" s="20" t="s">
        <v>129</v>
      </c>
      <c r="O205" s="20" t="s">
        <v>60</v>
      </c>
      <c r="P205" s="20" t="s">
        <v>76</v>
      </c>
      <c r="Q205" s="20" t="s">
        <v>77</v>
      </c>
      <c r="R205" s="20" t="s">
        <v>783</v>
      </c>
      <c r="S205" s="20" t="s">
        <v>787</v>
      </c>
      <c r="T205" s="20" t="s">
        <v>63</v>
      </c>
      <c r="U205" s="20" t="s">
        <v>64</v>
      </c>
      <c r="V205" s="20" t="s">
        <v>885</v>
      </c>
      <c r="W205" s="20" t="s">
        <v>891</v>
      </c>
      <c r="X205" s="20" t="s">
        <v>1018</v>
      </c>
      <c r="Y205" s="20" t="s">
        <v>63</v>
      </c>
      <c r="Z205" s="20" t="s">
        <v>1529</v>
      </c>
      <c r="AA205" s="20" t="s">
        <v>1698</v>
      </c>
      <c r="AB205" s="21">
        <v>45488</v>
      </c>
      <c r="AC205" s="20"/>
      <c r="AD205" s="20"/>
      <c r="AE205" s="27">
        <v>30</v>
      </c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 t="s">
        <v>1784</v>
      </c>
      <c r="AR205" s="20" t="s">
        <v>1784</v>
      </c>
      <c r="AS205" s="29">
        <v>5539</v>
      </c>
      <c r="AT205" s="63"/>
      <c r="AU205" s="27">
        <v>5539</v>
      </c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7"/>
      <c r="BP205" s="20"/>
      <c r="BQ205" s="20"/>
      <c r="BR205" s="20"/>
      <c r="BS205" s="27">
        <v>96.06</v>
      </c>
      <c r="BT205" s="20"/>
      <c r="BU205" s="20"/>
      <c r="BV205" s="20"/>
      <c r="BW205" s="20"/>
      <c r="BX205" s="20"/>
      <c r="BY205" s="28">
        <v>5635.06</v>
      </c>
      <c r="BZ205" s="20"/>
      <c r="CA205" s="20"/>
      <c r="CB205" s="20"/>
      <c r="CC205" s="27">
        <v>359.94</v>
      </c>
      <c r="CD205" s="20"/>
      <c r="CE205" s="27">
        <v>553.9</v>
      </c>
      <c r="CF205" s="20"/>
      <c r="CG205" s="27">
        <v>75.88</v>
      </c>
      <c r="CH205" s="20"/>
      <c r="CI205" s="20">
        <v>130.22</v>
      </c>
      <c r="CJ205" s="20"/>
      <c r="CK205" s="20"/>
      <c r="CL205" s="20"/>
      <c r="CM205" s="27"/>
      <c r="CN205" s="20"/>
      <c r="CO205" s="20"/>
      <c r="CP205" s="20"/>
      <c r="CQ205" s="20"/>
      <c r="CR205" s="27">
        <v>96.06</v>
      </c>
      <c r="CS205" s="20"/>
      <c r="CT205" s="20"/>
      <c r="CU205" s="20"/>
      <c r="CV205" s="20"/>
      <c r="CW205" s="20"/>
      <c r="CX205" s="20"/>
      <c r="CY205" s="28">
        <v>1216</v>
      </c>
      <c r="CZ205" s="27">
        <v>373.88</v>
      </c>
      <c r="DA205" s="27">
        <v>124.63</v>
      </c>
      <c r="DB205" s="27">
        <v>19.39</v>
      </c>
      <c r="DC205" s="27">
        <v>32.68</v>
      </c>
      <c r="DD205" s="20"/>
      <c r="DE205" s="27">
        <v>18.829999999999998</v>
      </c>
      <c r="DF205" s="28">
        <v>569.41</v>
      </c>
      <c r="DG205" s="28">
        <v>4419.0600000000004</v>
      </c>
    </row>
    <row r="206" spans="1:111" s="31" customFormat="1" ht="14.5" x14ac:dyDescent="0.35">
      <c r="B206" s="20">
        <v>200</v>
      </c>
      <c r="C206" s="20" t="s">
        <v>187</v>
      </c>
      <c r="D206" s="20" t="s">
        <v>105</v>
      </c>
      <c r="E206" s="20" t="s">
        <v>1396</v>
      </c>
      <c r="F206" s="20" t="s">
        <v>765</v>
      </c>
      <c r="G206" s="20" t="s">
        <v>586</v>
      </c>
      <c r="H206" s="20" t="s">
        <v>1397</v>
      </c>
      <c r="I206" s="20" t="s">
        <v>58</v>
      </c>
      <c r="J206" s="20" t="s">
        <v>1396</v>
      </c>
      <c r="K206" s="20" t="s">
        <v>59</v>
      </c>
      <c r="L206" s="21">
        <v>36595</v>
      </c>
      <c r="M206" s="20" t="s">
        <v>1398</v>
      </c>
      <c r="N206" s="20" t="s">
        <v>129</v>
      </c>
      <c r="O206" s="20" t="s">
        <v>70</v>
      </c>
      <c r="P206" s="20" t="s">
        <v>483</v>
      </c>
      <c r="Q206" s="20" t="s">
        <v>484</v>
      </c>
      <c r="R206" s="20" t="s">
        <v>783</v>
      </c>
      <c r="S206" s="20" t="s">
        <v>787</v>
      </c>
      <c r="T206" s="20" t="s">
        <v>65</v>
      </c>
      <c r="U206" s="20" t="s">
        <v>73</v>
      </c>
      <c r="V206" s="20" t="s">
        <v>1701</v>
      </c>
      <c r="W206" s="20" t="s">
        <v>891</v>
      </c>
      <c r="X206" s="20" t="s">
        <v>1399</v>
      </c>
      <c r="Y206" s="20"/>
      <c r="Z206" s="20"/>
      <c r="AA206" s="20"/>
      <c r="AB206" s="21">
        <v>45859</v>
      </c>
      <c r="AC206" s="20"/>
      <c r="AD206" s="20"/>
      <c r="AE206" s="27">
        <v>30</v>
      </c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 t="s">
        <v>1784</v>
      </c>
      <c r="AR206" s="20" t="s">
        <v>1784</v>
      </c>
      <c r="AS206" s="29">
        <v>4100</v>
      </c>
      <c r="AT206" s="63"/>
      <c r="AU206" s="27">
        <v>4100</v>
      </c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7"/>
      <c r="BP206" s="20"/>
      <c r="BQ206" s="20"/>
      <c r="BR206" s="20"/>
      <c r="BS206" s="27">
        <v>48.03</v>
      </c>
      <c r="BT206" s="20"/>
      <c r="BU206" s="20"/>
      <c r="BV206" s="20"/>
      <c r="BW206" s="20"/>
      <c r="BX206" s="20"/>
      <c r="BY206" s="28">
        <v>4148.03</v>
      </c>
      <c r="BZ206" s="20"/>
      <c r="CA206" s="20"/>
      <c r="CB206" s="20"/>
      <c r="CC206" s="27"/>
      <c r="CD206" s="20"/>
      <c r="CE206" s="27">
        <v>410</v>
      </c>
      <c r="CF206" s="20"/>
      <c r="CG206" s="27">
        <v>56.17</v>
      </c>
      <c r="CH206" s="20"/>
      <c r="CI206" s="20"/>
      <c r="CJ206" s="20"/>
      <c r="CK206" s="20"/>
      <c r="CL206" s="20"/>
      <c r="CM206" s="27"/>
      <c r="CN206" s="20"/>
      <c r="CO206" s="20"/>
      <c r="CP206" s="20"/>
      <c r="CQ206" s="20"/>
      <c r="CR206" s="27">
        <v>48.03</v>
      </c>
      <c r="CS206" s="20"/>
      <c r="CT206" s="20"/>
      <c r="CU206" s="20"/>
      <c r="CV206" s="20"/>
      <c r="CW206" s="20"/>
      <c r="CX206" s="20"/>
      <c r="CY206" s="28">
        <v>514.20000000000005</v>
      </c>
      <c r="CZ206" s="27">
        <v>276.75</v>
      </c>
      <c r="DA206" s="27">
        <v>92.25</v>
      </c>
      <c r="DB206" s="27">
        <v>14.35</v>
      </c>
      <c r="DC206" s="27">
        <v>24.19</v>
      </c>
      <c r="DD206" s="20"/>
      <c r="DE206" s="27">
        <v>13.94</v>
      </c>
      <c r="DF206" s="28">
        <v>421.48</v>
      </c>
      <c r="DG206" s="28">
        <v>3633.83</v>
      </c>
    </row>
    <row r="207" spans="1:111" s="31" customFormat="1" ht="14.5" x14ac:dyDescent="0.35">
      <c r="B207" s="20">
        <v>201</v>
      </c>
      <c r="C207" s="20" t="s">
        <v>187</v>
      </c>
      <c r="D207" s="20" t="s">
        <v>105</v>
      </c>
      <c r="E207" s="20" t="s">
        <v>314</v>
      </c>
      <c r="F207" s="20" t="s">
        <v>765</v>
      </c>
      <c r="G207" s="20" t="s">
        <v>766</v>
      </c>
      <c r="H207" s="20" t="s">
        <v>767</v>
      </c>
      <c r="I207" s="20" t="s">
        <v>58</v>
      </c>
      <c r="J207" s="20" t="s">
        <v>314</v>
      </c>
      <c r="K207" s="20" t="s">
        <v>59</v>
      </c>
      <c r="L207" s="21">
        <v>32702</v>
      </c>
      <c r="M207" s="20" t="s">
        <v>768</v>
      </c>
      <c r="N207" s="20" t="s">
        <v>132</v>
      </c>
      <c r="O207" s="20" t="s">
        <v>67</v>
      </c>
      <c r="P207" s="20" t="s">
        <v>364</v>
      </c>
      <c r="Q207" s="20" t="s">
        <v>365</v>
      </c>
      <c r="R207" s="20" t="s">
        <v>779</v>
      </c>
      <c r="S207" s="20" t="s">
        <v>782</v>
      </c>
      <c r="T207" s="20" t="s">
        <v>65</v>
      </c>
      <c r="U207" s="20" t="s">
        <v>73</v>
      </c>
      <c r="V207" s="20" t="s">
        <v>887</v>
      </c>
      <c r="W207" s="20" t="s">
        <v>896</v>
      </c>
      <c r="X207" s="20" t="s">
        <v>1020</v>
      </c>
      <c r="Y207" s="20" t="s">
        <v>65</v>
      </c>
      <c r="Z207" s="20" t="s">
        <v>1529</v>
      </c>
      <c r="AA207" s="20" t="s">
        <v>1702</v>
      </c>
      <c r="AB207" s="21">
        <v>45341</v>
      </c>
      <c r="AC207" s="20"/>
      <c r="AD207" s="20"/>
      <c r="AE207" s="27">
        <v>30</v>
      </c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 t="s">
        <v>1784</v>
      </c>
      <c r="AR207" s="20" t="s">
        <v>1784</v>
      </c>
      <c r="AS207" s="29">
        <v>22880</v>
      </c>
      <c r="AT207" s="63"/>
      <c r="AU207" s="27">
        <v>22880</v>
      </c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7">
        <v>162.5</v>
      </c>
      <c r="BP207" s="20"/>
      <c r="BQ207" s="20"/>
      <c r="BR207" s="20"/>
      <c r="BS207" s="27">
        <v>48.03</v>
      </c>
      <c r="BT207" s="20"/>
      <c r="BU207" s="20"/>
      <c r="BV207" s="20"/>
      <c r="BW207" s="20"/>
      <c r="BX207" s="20"/>
      <c r="BY207" s="28">
        <v>23090.53</v>
      </c>
      <c r="BZ207" s="20"/>
      <c r="CA207" s="20"/>
      <c r="CB207" s="20"/>
      <c r="CC207" s="27">
        <v>4371.71</v>
      </c>
      <c r="CD207" s="20"/>
      <c r="CE207" s="27">
        <v>2304.25</v>
      </c>
      <c r="CF207" s="20">
        <v>338.72</v>
      </c>
      <c r="CG207" s="27">
        <v>166.93</v>
      </c>
      <c r="CH207" s="20"/>
      <c r="CI207" s="20"/>
      <c r="CJ207" s="20"/>
      <c r="CK207" s="20"/>
      <c r="CL207" s="20"/>
      <c r="CM207" s="27">
        <v>162.5</v>
      </c>
      <c r="CN207" s="20"/>
      <c r="CO207" s="20"/>
      <c r="CP207" s="20"/>
      <c r="CQ207" s="20"/>
      <c r="CR207" s="27">
        <v>48.03</v>
      </c>
      <c r="CS207" s="20"/>
      <c r="CT207" s="20"/>
      <c r="CU207" s="20"/>
      <c r="CV207" s="20"/>
      <c r="CW207" s="20"/>
      <c r="CX207" s="20"/>
      <c r="CY207" s="28">
        <v>7392.14</v>
      </c>
      <c r="CZ207" s="27">
        <v>1555.37</v>
      </c>
      <c r="DA207" s="27">
        <v>518.46</v>
      </c>
      <c r="DB207" s="27">
        <v>42.65</v>
      </c>
      <c r="DC207" s="27">
        <v>135.94999999999999</v>
      </c>
      <c r="DD207" s="20"/>
      <c r="DE207" s="27">
        <v>41.43</v>
      </c>
      <c r="DF207" s="28">
        <v>2293.86</v>
      </c>
      <c r="DG207" s="28">
        <v>15698.39</v>
      </c>
    </row>
    <row r="208" spans="1:111" s="31" customFormat="1" ht="14.5" x14ac:dyDescent="0.35">
      <c r="B208" s="20">
        <v>62</v>
      </c>
      <c r="C208" s="20" t="s">
        <v>187</v>
      </c>
      <c r="D208" s="20" t="s">
        <v>105</v>
      </c>
      <c r="E208" s="20" t="s">
        <v>232</v>
      </c>
      <c r="F208" s="20" t="s">
        <v>508</v>
      </c>
      <c r="G208" s="20" t="s">
        <v>514</v>
      </c>
      <c r="H208" s="20" t="s">
        <v>515</v>
      </c>
      <c r="I208" s="20" t="s">
        <v>58</v>
      </c>
      <c r="J208" s="20" t="s">
        <v>232</v>
      </c>
      <c r="K208" s="20" t="s">
        <v>59</v>
      </c>
      <c r="L208" s="21">
        <v>34502</v>
      </c>
      <c r="M208" s="20" t="s">
        <v>1466</v>
      </c>
      <c r="N208" s="20" t="s">
        <v>129</v>
      </c>
      <c r="O208" s="20" t="s">
        <v>60</v>
      </c>
      <c r="P208" s="20" t="s">
        <v>76</v>
      </c>
      <c r="Q208" s="20" t="s">
        <v>77</v>
      </c>
      <c r="R208" s="20" t="s">
        <v>783</v>
      </c>
      <c r="S208" s="20" t="s">
        <v>787</v>
      </c>
      <c r="T208" s="20" t="s">
        <v>63</v>
      </c>
      <c r="U208" s="20" t="s">
        <v>64</v>
      </c>
      <c r="V208" s="20" t="s">
        <v>1724</v>
      </c>
      <c r="W208" s="20" t="s">
        <v>896</v>
      </c>
      <c r="X208" s="20" t="s">
        <v>939</v>
      </c>
      <c r="Y208" s="20" t="s">
        <v>1566</v>
      </c>
      <c r="Z208" s="20" t="s">
        <v>1529</v>
      </c>
      <c r="AA208" s="20" t="s">
        <v>1590</v>
      </c>
      <c r="AB208" s="21">
        <v>45152</v>
      </c>
      <c r="AC208" s="20"/>
      <c r="AD208" s="20"/>
      <c r="AE208" s="27">
        <v>30</v>
      </c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 t="s">
        <v>1784</v>
      </c>
      <c r="AR208" s="20" t="s">
        <v>1784</v>
      </c>
      <c r="AS208" s="29">
        <v>10735</v>
      </c>
      <c r="AT208" s="63"/>
      <c r="AU208" s="27">
        <v>10735</v>
      </c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7"/>
      <c r="BP208" s="20"/>
      <c r="BQ208" s="20"/>
      <c r="BR208" s="20"/>
      <c r="BS208" s="27">
        <v>48.03</v>
      </c>
      <c r="BT208" s="20"/>
      <c r="BU208" s="20"/>
      <c r="BV208" s="20"/>
      <c r="BW208" s="20"/>
      <c r="BX208" s="20"/>
      <c r="BY208" s="28">
        <v>10783.03</v>
      </c>
      <c r="BZ208" s="20"/>
      <c r="CA208" s="20"/>
      <c r="CB208" s="20"/>
      <c r="CC208" s="27">
        <v>1220.56</v>
      </c>
      <c r="CD208" s="20"/>
      <c r="CE208" s="27">
        <v>1073.5</v>
      </c>
      <c r="CF208" s="20"/>
      <c r="CG208" s="27">
        <v>147.07</v>
      </c>
      <c r="CH208" s="20"/>
      <c r="CI208" s="20">
        <v>130.22</v>
      </c>
      <c r="CJ208" s="20"/>
      <c r="CK208" s="20"/>
      <c r="CL208" s="20"/>
      <c r="CM208" s="27"/>
      <c r="CN208" s="20"/>
      <c r="CO208" s="20"/>
      <c r="CP208" s="20"/>
      <c r="CQ208" s="20"/>
      <c r="CR208" s="27">
        <v>48.03</v>
      </c>
      <c r="CS208" s="20"/>
      <c r="CT208" s="20"/>
      <c r="CU208" s="20"/>
      <c r="CV208" s="20"/>
      <c r="CW208" s="20"/>
      <c r="CX208" s="20"/>
      <c r="CY208" s="28">
        <v>2619.38</v>
      </c>
      <c r="CZ208" s="27">
        <v>724.61</v>
      </c>
      <c r="DA208" s="27">
        <v>241.54</v>
      </c>
      <c r="DB208" s="27">
        <v>37.57</v>
      </c>
      <c r="DC208" s="27">
        <v>63.34</v>
      </c>
      <c r="DD208" s="20"/>
      <c r="DE208" s="27">
        <v>36.5</v>
      </c>
      <c r="DF208" s="28">
        <v>1103.56</v>
      </c>
      <c r="DG208" s="28">
        <v>8163.65</v>
      </c>
    </row>
    <row r="209" spans="2:111" s="31" customFormat="1" ht="14.5" x14ac:dyDescent="0.35">
      <c r="B209" s="20">
        <v>173</v>
      </c>
      <c r="C209" s="20" t="s">
        <v>187</v>
      </c>
      <c r="D209" s="20" t="s">
        <v>109</v>
      </c>
      <c r="E209" s="20" t="s">
        <v>297</v>
      </c>
      <c r="F209" s="20" t="s">
        <v>703</v>
      </c>
      <c r="G209" s="20" t="s">
        <v>712</v>
      </c>
      <c r="H209" s="20" t="s">
        <v>713</v>
      </c>
      <c r="I209" s="20" t="s">
        <v>58</v>
      </c>
      <c r="J209" s="20" t="s">
        <v>297</v>
      </c>
      <c r="K209" s="20" t="s">
        <v>59</v>
      </c>
      <c r="L209" s="21">
        <v>22935</v>
      </c>
      <c r="M209" s="20" t="s">
        <v>453</v>
      </c>
      <c r="N209" s="20" t="s">
        <v>327</v>
      </c>
      <c r="O209" s="20" t="s">
        <v>67</v>
      </c>
      <c r="P209" s="20" t="s">
        <v>454</v>
      </c>
      <c r="Q209" s="20" t="s">
        <v>455</v>
      </c>
      <c r="R209" s="20" t="s">
        <v>779</v>
      </c>
      <c r="S209" s="20" t="s">
        <v>780</v>
      </c>
      <c r="T209" s="20" t="s">
        <v>138</v>
      </c>
      <c r="U209" s="20" t="s">
        <v>64</v>
      </c>
      <c r="V209" s="20" t="s">
        <v>874</v>
      </c>
      <c r="W209" s="20" t="s">
        <v>898</v>
      </c>
      <c r="X209" s="20" t="s">
        <v>1003</v>
      </c>
      <c r="Y209" s="20" t="s">
        <v>1560</v>
      </c>
      <c r="Z209" s="20" t="s">
        <v>1529</v>
      </c>
      <c r="AA209" s="20" t="s">
        <v>1678</v>
      </c>
      <c r="AB209" s="21">
        <v>44236</v>
      </c>
      <c r="AC209" s="20"/>
      <c r="AD209" s="20"/>
      <c r="AE209" s="27">
        <v>30</v>
      </c>
      <c r="AF209" s="20"/>
      <c r="AG209" s="20"/>
      <c r="AH209" s="20"/>
      <c r="AI209" s="20"/>
      <c r="AJ209" s="20"/>
      <c r="AK209" s="20"/>
      <c r="AL209" s="20">
        <v>8</v>
      </c>
      <c r="AM209" s="20">
        <v>25</v>
      </c>
      <c r="AN209" s="20">
        <v>10</v>
      </c>
      <c r="AO209" s="20">
        <v>12</v>
      </c>
      <c r="AP209" s="20"/>
      <c r="AQ209" s="20">
        <v>70</v>
      </c>
      <c r="AR209" s="20">
        <v>103</v>
      </c>
      <c r="AS209" s="29">
        <v>4234</v>
      </c>
      <c r="AT209" s="63"/>
      <c r="AU209" s="27">
        <v>4234</v>
      </c>
      <c r="AV209" s="20"/>
      <c r="AW209" s="20">
        <v>176.41</v>
      </c>
      <c r="AX209" s="20">
        <v>595.39</v>
      </c>
      <c r="AY209" s="20">
        <v>352.83</v>
      </c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>
        <v>423.39</v>
      </c>
      <c r="BM209" s="20"/>
      <c r="BN209" s="20"/>
      <c r="BO209" s="27">
        <v>450.7</v>
      </c>
      <c r="BP209" s="20"/>
      <c r="BQ209" s="20"/>
      <c r="BR209" s="20"/>
      <c r="BS209" s="27">
        <v>96.07</v>
      </c>
      <c r="BT209" s="20"/>
      <c r="BU209" s="20"/>
      <c r="BV209" s="20">
        <v>999.4</v>
      </c>
      <c r="BW209" s="20">
        <v>185.24</v>
      </c>
      <c r="BX209" s="20"/>
      <c r="BY209" s="28">
        <v>7513.43</v>
      </c>
      <c r="BZ209" s="20"/>
      <c r="CA209" s="20">
        <v>1693.6</v>
      </c>
      <c r="CB209" s="20"/>
      <c r="CC209" s="27">
        <v>742.42</v>
      </c>
      <c r="CD209" s="20"/>
      <c r="CE209" s="27">
        <v>741.74</v>
      </c>
      <c r="CF209" s="20">
        <v>118.68</v>
      </c>
      <c r="CG209" s="27">
        <v>101.62</v>
      </c>
      <c r="CH209" s="20"/>
      <c r="CI209" s="20"/>
      <c r="CJ209" s="20"/>
      <c r="CK209" s="20"/>
      <c r="CL209" s="20"/>
      <c r="CM209" s="27">
        <v>450.7</v>
      </c>
      <c r="CN209" s="20"/>
      <c r="CO209" s="20"/>
      <c r="CP209" s="20"/>
      <c r="CQ209" s="20"/>
      <c r="CR209" s="27">
        <v>96.07</v>
      </c>
      <c r="CS209" s="20">
        <v>130.05000000000001</v>
      </c>
      <c r="CT209" s="20"/>
      <c r="CU209" s="20"/>
      <c r="CV209" s="20"/>
      <c r="CW209" s="20"/>
      <c r="CX209" s="20"/>
      <c r="CY209" s="28">
        <v>4074.88</v>
      </c>
      <c r="CZ209" s="27">
        <v>500.67</v>
      </c>
      <c r="DA209" s="27">
        <v>166.89</v>
      </c>
      <c r="DB209" s="27">
        <v>25.96</v>
      </c>
      <c r="DC209" s="27">
        <v>43.76</v>
      </c>
      <c r="DD209" s="20">
        <v>55.63</v>
      </c>
      <c r="DE209" s="27">
        <v>25.22</v>
      </c>
      <c r="DF209" s="28">
        <v>818.13</v>
      </c>
      <c r="DG209" s="28">
        <v>3438.55</v>
      </c>
    </row>
    <row r="210" spans="2:111" s="31" customFormat="1" ht="14.5" x14ac:dyDescent="0.35">
      <c r="B210" s="20">
        <v>204</v>
      </c>
      <c r="C210" s="20" t="s">
        <v>187</v>
      </c>
      <c r="D210" s="20" t="s">
        <v>105</v>
      </c>
      <c r="E210" s="20" t="s">
        <v>317</v>
      </c>
      <c r="F210" s="20" t="s">
        <v>773</v>
      </c>
      <c r="G210" s="20" t="s">
        <v>775</v>
      </c>
      <c r="H210" s="20" t="s">
        <v>776</v>
      </c>
      <c r="I210" s="20" t="s">
        <v>58</v>
      </c>
      <c r="J210" s="20" t="s">
        <v>317</v>
      </c>
      <c r="K210" s="20" t="s">
        <v>59</v>
      </c>
      <c r="L210" s="21">
        <v>33835</v>
      </c>
      <c r="M210" s="20" t="s">
        <v>777</v>
      </c>
      <c r="N210" s="20" t="s">
        <v>129</v>
      </c>
      <c r="O210" s="20" t="s">
        <v>778</v>
      </c>
      <c r="P210" s="20" t="s">
        <v>87</v>
      </c>
      <c r="Q210" s="20" t="s">
        <v>88</v>
      </c>
      <c r="R210" s="20" t="s">
        <v>779</v>
      </c>
      <c r="S210" s="20" t="s">
        <v>782</v>
      </c>
      <c r="T210" s="20" t="s">
        <v>137</v>
      </c>
      <c r="U210" s="20" t="s">
        <v>64</v>
      </c>
      <c r="V210" s="20" t="s">
        <v>890</v>
      </c>
      <c r="W210" s="20" t="s">
        <v>891</v>
      </c>
      <c r="X210" s="20" t="s">
        <v>1022</v>
      </c>
      <c r="Y210" s="20" t="s">
        <v>137</v>
      </c>
      <c r="Z210" s="20" t="s">
        <v>1529</v>
      </c>
      <c r="AA210" s="20" t="s">
        <v>1706</v>
      </c>
      <c r="AB210" s="21">
        <v>44515</v>
      </c>
      <c r="AC210" s="20"/>
      <c r="AD210" s="20"/>
      <c r="AE210" s="27">
        <v>30</v>
      </c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 t="s">
        <v>1784</v>
      </c>
      <c r="AR210" s="20" t="s">
        <v>1784</v>
      </c>
      <c r="AS210" s="29">
        <v>12152</v>
      </c>
      <c r="AT210" s="63">
        <v>113</v>
      </c>
      <c r="AU210" s="27">
        <v>12152</v>
      </c>
      <c r="AV210" s="20">
        <v>113</v>
      </c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7"/>
      <c r="BP210" s="20"/>
      <c r="BQ210" s="20"/>
      <c r="BR210" s="20"/>
      <c r="BS210" s="27">
        <v>48.03</v>
      </c>
      <c r="BT210" s="20"/>
      <c r="BU210" s="20"/>
      <c r="BV210" s="20"/>
      <c r="BW210" s="20"/>
      <c r="BX210" s="20"/>
      <c r="BY210" s="28">
        <v>12313.03</v>
      </c>
      <c r="BZ210" s="20"/>
      <c r="CA210" s="20"/>
      <c r="CB210" s="20"/>
      <c r="CC210" s="27">
        <v>1543.26</v>
      </c>
      <c r="CD210" s="20"/>
      <c r="CE210" s="27">
        <v>1226.5</v>
      </c>
      <c r="CF210" s="20"/>
      <c r="CG210" s="27">
        <v>166.93</v>
      </c>
      <c r="CH210" s="20"/>
      <c r="CI210" s="20"/>
      <c r="CJ210" s="20"/>
      <c r="CK210" s="20"/>
      <c r="CL210" s="20"/>
      <c r="CM210" s="27"/>
      <c r="CN210" s="20"/>
      <c r="CO210" s="20"/>
      <c r="CP210" s="20"/>
      <c r="CQ210" s="20"/>
      <c r="CR210" s="27">
        <v>48.03</v>
      </c>
      <c r="CS210" s="20"/>
      <c r="CT210" s="20"/>
      <c r="CU210" s="20"/>
      <c r="CV210" s="20"/>
      <c r="CW210" s="20"/>
      <c r="CX210" s="20"/>
      <c r="CY210" s="28">
        <v>2984.72</v>
      </c>
      <c r="CZ210" s="27">
        <v>827.89</v>
      </c>
      <c r="DA210" s="27">
        <v>275.95999999999998</v>
      </c>
      <c r="DB210" s="27">
        <v>42.65</v>
      </c>
      <c r="DC210" s="27">
        <v>72.36</v>
      </c>
      <c r="DD210" s="20"/>
      <c r="DE210" s="27">
        <v>41.43</v>
      </c>
      <c r="DF210" s="28">
        <v>1260.29</v>
      </c>
      <c r="DG210" s="28">
        <v>9328.31</v>
      </c>
    </row>
    <row r="211" spans="2:111" s="31" customFormat="1" ht="14.5" x14ac:dyDescent="0.35">
      <c r="B211" s="20">
        <v>205</v>
      </c>
      <c r="C211" s="20" t="s">
        <v>187</v>
      </c>
      <c r="D211" s="20" t="s">
        <v>105</v>
      </c>
      <c r="E211" s="20" t="s">
        <v>1122</v>
      </c>
      <c r="F211" s="20" t="s">
        <v>1123</v>
      </c>
      <c r="G211" s="20" t="s">
        <v>1146</v>
      </c>
      <c r="H211" s="20" t="s">
        <v>616</v>
      </c>
      <c r="I211" s="20" t="s">
        <v>58</v>
      </c>
      <c r="J211" s="20" t="s">
        <v>1122</v>
      </c>
      <c r="K211" s="20" t="s">
        <v>59</v>
      </c>
      <c r="L211" s="21">
        <v>35489</v>
      </c>
      <c r="M211" s="20" t="s">
        <v>1124</v>
      </c>
      <c r="N211" s="20" t="s">
        <v>327</v>
      </c>
      <c r="O211" s="20" t="s">
        <v>70</v>
      </c>
      <c r="P211" s="20" t="s">
        <v>590</v>
      </c>
      <c r="Q211" s="20" t="s">
        <v>591</v>
      </c>
      <c r="R211" s="20" t="s">
        <v>783</v>
      </c>
      <c r="S211" s="20" t="s">
        <v>106</v>
      </c>
      <c r="T211" s="20" t="s">
        <v>137</v>
      </c>
      <c r="U211" s="20" t="s">
        <v>64</v>
      </c>
      <c r="V211" s="20" t="s">
        <v>1125</v>
      </c>
      <c r="W211" s="20" t="s">
        <v>898</v>
      </c>
      <c r="X211" s="20" t="s">
        <v>1126</v>
      </c>
      <c r="Y211" s="20" t="s">
        <v>65</v>
      </c>
      <c r="Z211" s="20" t="s">
        <v>1529</v>
      </c>
      <c r="AA211" s="20" t="s">
        <v>1707</v>
      </c>
      <c r="AB211" s="21">
        <v>45694</v>
      </c>
      <c r="AC211" s="20"/>
      <c r="AD211" s="20"/>
      <c r="AE211" s="27">
        <v>30</v>
      </c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 t="s">
        <v>1784</v>
      </c>
      <c r="AR211" s="20" t="s">
        <v>1784</v>
      </c>
      <c r="AS211" s="29">
        <v>4200</v>
      </c>
      <c r="AT211" s="63"/>
      <c r="AU211" s="27">
        <v>4200</v>
      </c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7"/>
      <c r="BP211" s="20"/>
      <c r="BQ211" s="20"/>
      <c r="BR211" s="20"/>
      <c r="BS211" s="27">
        <v>48.03</v>
      </c>
      <c r="BT211" s="20"/>
      <c r="BU211" s="20"/>
      <c r="BV211" s="20"/>
      <c r="BW211" s="20"/>
      <c r="BX211" s="20"/>
      <c r="BY211" s="28">
        <v>4248.03</v>
      </c>
      <c r="BZ211" s="20"/>
      <c r="CA211" s="20"/>
      <c r="CB211" s="20"/>
      <c r="CC211" s="27">
        <v>141.96</v>
      </c>
      <c r="CD211" s="20"/>
      <c r="CE211" s="27">
        <v>420</v>
      </c>
      <c r="CF211" s="20"/>
      <c r="CG211" s="27">
        <v>57.54</v>
      </c>
      <c r="CH211" s="20"/>
      <c r="CI211" s="20"/>
      <c r="CJ211" s="20"/>
      <c r="CK211" s="20"/>
      <c r="CL211" s="20"/>
      <c r="CM211" s="27"/>
      <c r="CN211" s="20"/>
      <c r="CO211" s="20"/>
      <c r="CP211" s="20"/>
      <c r="CQ211" s="20"/>
      <c r="CR211" s="27">
        <v>48.03</v>
      </c>
      <c r="CS211" s="20"/>
      <c r="CT211" s="20"/>
      <c r="CU211" s="20"/>
      <c r="CV211" s="20"/>
      <c r="CW211" s="20"/>
      <c r="CX211" s="20"/>
      <c r="CY211" s="28">
        <v>667.53</v>
      </c>
      <c r="CZ211" s="27">
        <v>378</v>
      </c>
      <c r="DA211" s="27"/>
      <c r="DB211" s="27">
        <v>14.7</v>
      </c>
      <c r="DC211" s="27">
        <v>24.78</v>
      </c>
      <c r="DD211" s="20"/>
      <c r="DE211" s="27">
        <v>14.28</v>
      </c>
      <c r="DF211" s="28">
        <v>431.76</v>
      </c>
      <c r="DG211" s="28">
        <v>3580.5</v>
      </c>
    </row>
    <row r="212" spans="2:111" ht="14.5" x14ac:dyDescent="0.35"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34">
        <f t="shared" ref="AE212:BJ212" si="0">SUM(AE7:AE211)</f>
        <v>5461</v>
      </c>
      <c r="AF212" s="34">
        <f t="shared" si="0"/>
        <v>28</v>
      </c>
      <c r="AG212" s="34">
        <f t="shared" si="0"/>
        <v>282</v>
      </c>
      <c r="AH212" s="34">
        <f t="shared" si="0"/>
        <v>6</v>
      </c>
      <c r="AI212" s="34">
        <f t="shared" si="0"/>
        <v>90</v>
      </c>
      <c r="AJ212" s="34">
        <f t="shared" si="0"/>
        <v>8</v>
      </c>
      <c r="AK212" s="34">
        <f t="shared" si="0"/>
        <v>5</v>
      </c>
      <c r="AL212" s="34">
        <f t="shared" si="0"/>
        <v>102</v>
      </c>
      <c r="AM212" s="34">
        <f t="shared" si="0"/>
        <v>226</v>
      </c>
      <c r="AN212" s="34">
        <f t="shared" si="0"/>
        <v>22</v>
      </c>
      <c r="AO212" s="34">
        <f t="shared" si="0"/>
        <v>88</v>
      </c>
      <c r="AP212" s="34">
        <f t="shared" si="0"/>
        <v>51</v>
      </c>
      <c r="AQ212" s="34">
        <f t="shared" si="0"/>
        <v>1925</v>
      </c>
      <c r="AR212" s="34">
        <f t="shared" si="0"/>
        <v>1368</v>
      </c>
      <c r="AS212" s="35">
        <f t="shared" si="0"/>
        <v>1340662.17</v>
      </c>
      <c r="AT212" s="35">
        <f t="shared" si="0"/>
        <v>11642</v>
      </c>
      <c r="AU212" s="34">
        <f t="shared" si="0"/>
        <v>1235968.0099999998</v>
      </c>
      <c r="AV212" s="34">
        <f t="shared" si="0"/>
        <v>11529</v>
      </c>
      <c r="AW212" s="34">
        <f t="shared" si="0"/>
        <v>1945.6100000000001</v>
      </c>
      <c r="AX212" s="34">
        <f t="shared" si="0"/>
        <v>4841.8100000000004</v>
      </c>
      <c r="AY212" s="34">
        <f t="shared" si="0"/>
        <v>796.23</v>
      </c>
      <c r="AZ212" s="34">
        <f t="shared" si="0"/>
        <v>64537.3</v>
      </c>
      <c r="BA212" s="34">
        <f t="shared" si="0"/>
        <v>635</v>
      </c>
      <c r="BB212" s="34">
        <f t="shared" si="0"/>
        <v>1322.5700000000002</v>
      </c>
      <c r="BC212" s="34">
        <f t="shared" si="0"/>
        <v>19377.3</v>
      </c>
      <c r="BD212" s="34">
        <f t="shared" si="0"/>
        <v>39328.080000000002</v>
      </c>
      <c r="BE212" s="34">
        <f t="shared" si="0"/>
        <v>25005</v>
      </c>
      <c r="BF212" s="34">
        <f t="shared" si="0"/>
        <v>988</v>
      </c>
      <c r="BG212" s="34">
        <f t="shared" si="0"/>
        <v>26773.67</v>
      </c>
      <c r="BH212" s="34">
        <f t="shared" si="0"/>
        <v>7245.47</v>
      </c>
      <c r="BI212" s="34">
        <f t="shared" si="0"/>
        <v>38474.120000000003</v>
      </c>
      <c r="BJ212" s="34">
        <f t="shared" si="0"/>
        <v>69188.475300000006</v>
      </c>
      <c r="BK212" s="34">
        <f t="shared" ref="BK212:CP212" si="1">SUM(BK7:BK211)</f>
        <v>3539.5299999999997</v>
      </c>
      <c r="BL212" s="34">
        <f t="shared" si="1"/>
        <v>2649.5</v>
      </c>
      <c r="BM212" s="34">
        <f t="shared" si="1"/>
        <v>22941.38</v>
      </c>
      <c r="BN212" s="34">
        <f t="shared" si="1"/>
        <v>12149.729999999996</v>
      </c>
      <c r="BO212" s="34">
        <f t="shared" si="1"/>
        <v>23913.399999999994</v>
      </c>
      <c r="BP212" s="34">
        <f t="shared" si="1"/>
        <v>4300</v>
      </c>
      <c r="BQ212" s="34">
        <f t="shared" si="1"/>
        <v>3000</v>
      </c>
      <c r="BR212" s="34">
        <f t="shared" si="1"/>
        <v>11105</v>
      </c>
      <c r="BS212" s="34">
        <f t="shared" si="1"/>
        <v>13400.850000000026</v>
      </c>
      <c r="BT212" s="34">
        <f t="shared" si="1"/>
        <v>2000</v>
      </c>
      <c r="BU212" s="34">
        <f t="shared" si="1"/>
        <v>51332.22</v>
      </c>
      <c r="BV212" s="34">
        <f t="shared" si="1"/>
        <v>10040.39</v>
      </c>
      <c r="BW212" s="34">
        <f t="shared" si="1"/>
        <v>3724.3099999999995</v>
      </c>
      <c r="BX212" s="34">
        <f t="shared" si="1"/>
        <v>331.69</v>
      </c>
      <c r="BY212" s="34">
        <f t="shared" si="1"/>
        <v>1712383.6453000007</v>
      </c>
      <c r="BZ212" s="34">
        <f t="shared" si="1"/>
        <v>14262.3</v>
      </c>
      <c r="CA212" s="34">
        <f t="shared" si="1"/>
        <v>54334.11</v>
      </c>
      <c r="CB212" s="34">
        <f t="shared" si="1"/>
        <v>2182.13</v>
      </c>
      <c r="CC212" s="34">
        <f t="shared" si="1"/>
        <v>222384.21</v>
      </c>
      <c r="CD212" s="34">
        <f t="shared" si="1"/>
        <v>11105</v>
      </c>
      <c r="CE212" s="34">
        <f t="shared" si="1"/>
        <v>153782.48000000004</v>
      </c>
      <c r="CF212" s="34">
        <f t="shared" si="1"/>
        <v>8658.1999999999989</v>
      </c>
      <c r="CG212" s="34">
        <f t="shared" si="1"/>
        <v>15518.740000000005</v>
      </c>
      <c r="CH212" s="34">
        <f t="shared" si="1"/>
        <v>6784.19</v>
      </c>
      <c r="CI212" s="34">
        <f t="shared" si="1"/>
        <v>5955.420000000001</v>
      </c>
      <c r="CJ212" s="34">
        <f t="shared" si="1"/>
        <v>15</v>
      </c>
      <c r="CK212" s="34">
        <f t="shared" si="1"/>
        <v>1025</v>
      </c>
      <c r="CL212" s="34">
        <f t="shared" si="1"/>
        <v>643</v>
      </c>
      <c r="CM212" s="34">
        <f t="shared" si="1"/>
        <v>23913.399999999994</v>
      </c>
      <c r="CN212" s="34">
        <f t="shared" si="1"/>
        <v>125546.53999999998</v>
      </c>
      <c r="CO212" s="34">
        <f t="shared" si="1"/>
        <v>4300</v>
      </c>
      <c r="CP212" s="34">
        <f t="shared" si="1"/>
        <v>107</v>
      </c>
      <c r="CQ212" s="34">
        <f t="shared" ref="CQ212:DG212" si="2">SUM(CQ7:CQ211)</f>
        <v>650.42000000000007</v>
      </c>
      <c r="CR212" s="34">
        <f t="shared" si="2"/>
        <v>13400.850000000026</v>
      </c>
      <c r="CS212" s="34">
        <f t="shared" si="2"/>
        <v>579.3599999999999</v>
      </c>
      <c r="CT212" s="34">
        <f t="shared" si="2"/>
        <v>7125.95</v>
      </c>
      <c r="CU212" s="34">
        <f t="shared" si="2"/>
        <v>38474.120000000003</v>
      </c>
      <c r="CV212" s="34">
        <f t="shared" si="2"/>
        <v>2000</v>
      </c>
      <c r="CW212" s="34">
        <f t="shared" si="2"/>
        <v>3468.85</v>
      </c>
      <c r="CX212" s="34">
        <f t="shared" si="2"/>
        <v>7763</v>
      </c>
      <c r="CY212" s="34">
        <f t="shared" si="2"/>
        <v>723979.2699999999</v>
      </c>
      <c r="CZ212" s="34">
        <f t="shared" si="2"/>
        <v>114440.80000000002</v>
      </c>
      <c r="DA212" s="34">
        <f t="shared" si="2"/>
        <v>27906.690000000002</v>
      </c>
      <c r="DB212" s="34">
        <f t="shared" si="2"/>
        <v>3968.1500000000005</v>
      </c>
      <c r="DC212" s="34">
        <f t="shared" si="2"/>
        <v>9310.9600000000028</v>
      </c>
      <c r="DD212" s="34">
        <f t="shared" si="2"/>
        <v>2401.6500000000005</v>
      </c>
      <c r="DE212" s="34">
        <f t="shared" si="2"/>
        <v>3913.9899999999966</v>
      </c>
      <c r="DF212" s="34">
        <f t="shared" si="2"/>
        <v>161942.23999999993</v>
      </c>
      <c r="DG212" s="34">
        <f t="shared" si="2"/>
        <v>988404.37529999972</v>
      </c>
    </row>
    <row r="213" spans="2:111" ht="15" thickBot="1" x14ac:dyDescent="0.4"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  <c r="CI213" s="72"/>
      <c r="CJ213" s="72"/>
      <c r="CK213" s="72"/>
      <c r="CL213" s="72"/>
      <c r="CM213" s="72"/>
      <c r="CN213" s="72"/>
      <c r="CO213" s="72"/>
      <c r="CP213" s="72"/>
      <c r="CQ213" s="72"/>
      <c r="CR213" s="72"/>
      <c r="CS213" s="72"/>
      <c r="CT213" s="72"/>
      <c r="CU213" s="72"/>
      <c r="CV213" s="72"/>
      <c r="CW213" s="72"/>
      <c r="CX213" s="72"/>
      <c r="CY213" s="72"/>
      <c r="CZ213" s="72"/>
      <c r="DA213" s="72"/>
      <c r="DB213" s="72"/>
      <c r="DC213" s="72"/>
      <c r="DD213" s="72"/>
      <c r="DE213" s="72"/>
      <c r="DF213" s="72"/>
      <c r="DG213" s="72"/>
    </row>
    <row r="214" spans="2:111" ht="15" thickBot="1" x14ac:dyDescent="0.4">
      <c r="B214" s="71"/>
      <c r="C214" s="3" t="s">
        <v>89</v>
      </c>
      <c r="D214" s="3"/>
      <c r="E214" s="3"/>
      <c r="F214" s="4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  <c r="CD214" s="72"/>
      <c r="CE214" s="72"/>
      <c r="CF214" s="72"/>
      <c r="CG214" s="72"/>
      <c r="CH214" s="72"/>
      <c r="CI214" s="72"/>
      <c r="CJ214" s="72"/>
      <c r="CK214" s="72"/>
      <c r="CL214" s="72"/>
      <c r="CM214" s="72"/>
      <c r="CN214" s="72"/>
      <c r="CO214" s="72"/>
      <c r="CP214" s="72"/>
      <c r="CQ214" s="72"/>
      <c r="CR214" s="72"/>
      <c r="CS214" s="72"/>
      <c r="CT214" s="72"/>
      <c r="CU214" s="72"/>
      <c r="CV214" s="72"/>
      <c r="CW214" s="72"/>
      <c r="CX214" s="72"/>
      <c r="CY214" s="72"/>
      <c r="CZ214" s="72"/>
      <c r="DA214" s="72"/>
      <c r="DB214" s="72"/>
      <c r="DC214" s="72"/>
      <c r="DD214" s="72"/>
      <c r="DE214" s="72"/>
      <c r="DF214" s="52" t="s">
        <v>1272</v>
      </c>
      <c r="DG214" s="53"/>
    </row>
    <row r="215" spans="2:111" ht="14.5" x14ac:dyDescent="0.35">
      <c r="B215" s="71"/>
      <c r="C215" s="5" t="s">
        <v>90</v>
      </c>
      <c r="D215" s="69"/>
      <c r="F215" s="7">
        <v>200</v>
      </c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3"/>
      <c r="AD215" s="71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  <c r="CI215" s="72"/>
      <c r="CJ215" s="72"/>
      <c r="CK215" s="72"/>
      <c r="CL215" s="72"/>
      <c r="CM215" s="72"/>
      <c r="CN215" s="72"/>
      <c r="CO215" s="72"/>
      <c r="CP215" s="72"/>
      <c r="CQ215" s="72"/>
      <c r="CR215" s="72"/>
      <c r="CS215" s="72"/>
      <c r="CT215" s="72"/>
      <c r="CU215" s="72"/>
      <c r="CV215" s="72"/>
      <c r="CW215" s="72"/>
      <c r="CX215" s="72"/>
      <c r="CY215" s="72"/>
      <c r="CZ215" s="72"/>
      <c r="DA215" s="72"/>
      <c r="DB215" s="72"/>
      <c r="DC215" s="72"/>
      <c r="DD215" s="72"/>
      <c r="DE215" s="72"/>
      <c r="DF215" s="52" t="s">
        <v>137</v>
      </c>
      <c r="DG215" s="52">
        <f>+SUMIF($T$7:$T$211,DF215,$DG$7:$DG$211)</f>
        <v>152703.67000000001</v>
      </c>
    </row>
    <row r="216" spans="2:111" x14ac:dyDescent="0.3">
      <c r="C216" s="8" t="s">
        <v>91</v>
      </c>
      <c r="D216" s="70"/>
      <c r="F216" s="10">
        <v>12</v>
      </c>
      <c r="AE216" s="16"/>
      <c r="AF216" s="16"/>
      <c r="AG216" s="16"/>
      <c r="AH216" s="16"/>
      <c r="AI216" s="16"/>
      <c r="CZ216" s="64"/>
      <c r="DA216" s="64"/>
      <c r="DF216" s="52" t="s">
        <v>138</v>
      </c>
      <c r="DG216" s="52">
        <f t="shared" ref="DG216:DG221" si="3">+SUMIF($T$7:$T$211,DF216,$DG$7:$DG$211)</f>
        <v>38335.340000000011</v>
      </c>
    </row>
    <row r="217" spans="2:111" x14ac:dyDescent="0.3">
      <c r="C217" s="8" t="s">
        <v>92</v>
      </c>
      <c r="D217" s="70"/>
      <c r="F217" s="10">
        <v>7</v>
      </c>
      <c r="AE217" s="16"/>
      <c r="AF217" s="16"/>
      <c r="AG217" s="16"/>
      <c r="AH217" s="16"/>
      <c r="AI217" s="16"/>
      <c r="CZ217" s="64"/>
      <c r="DA217" s="64"/>
      <c r="DF217" s="52" t="s">
        <v>65</v>
      </c>
      <c r="DG217" s="52">
        <f t="shared" si="3"/>
        <v>380540.93530000007</v>
      </c>
    </row>
    <row r="218" spans="2:111" x14ac:dyDescent="0.3">
      <c r="C218" s="8" t="s">
        <v>93</v>
      </c>
      <c r="D218" s="70"/>
      <c r="F218" s="10"/>
      <c r="AE218" s="16"/>
      <c r="AF218" s="16"/>
      <c r="AG218" s="16"/>
      <c r="AH218" s="16"/>
      <c r="AI218" s="16"/>
      <c r="CZ218" s="64"/>
      <c r="DA218" s="64"/>
      <c r="DF218" s="52" t="s">
        <v>63</v>
      </c>
      <c r="DG218" s="52">
        <f t="shared" si="3"/>
        <v>388424.81999999995</v>
      </c>
    </row>
    <row r="219" spans="2:111" x14ac:dyDescent="0.3">
      <c r="C219" s="8" t="s">
        <v>94</v>
      </c>
      <c r="D219" s="70"/>
      <c r="F219" s="10"/>
      <c r="AE219" s="16"/>
      <c r="AF219" s="16"/>
      <c r="AG219" s="16"/>
      <c r="AH219" s="16"/>
      <c r="AI219" s="16"/>
      <c r="CZ219" s="64"/>
      <c r="DA219" s="64"/>
      <c r="DF219" s="52" t="s">
        <v>1273</v>
      </c>
      <c r="DG219" s="52">
        <f t="shared" si="3"/>
        <v>0</v>
      </c>
    </row>
    <row r="220" spans="2:111" ht="13.5" thickBot="1" x14ac:dyDescent="0.35">
      <c r="C220" s="11" t="s">
        <v>95</v>
      </c>
      <c r="D220" s="11"/>
      <c r="E220" s="11"/>
      <c r="F220" s="13">
        <f>+F215+F216-F217+F218-F219</f>
        <v>205</v>
      </c>
      <c r="AE220" s="16"/>
      <c r="AF220" s="16"/>
      <c r="AG220" s="16"/>
      <c r="AH220" s="16"/>
      <c r="AI220" s="16"/>
      <c r="CZ220" s="64"/>
      <c r="DA220" s="64"/>
      <c r="DF220" s="52" t="s">
        <v>161</v>
      </c>
      <c r="DG220" s="52">
        <f t="shared" si="3"/>
        <v>0</v>
      </c>
    </row>
    <row r="221" spans="2:111" x14ac:dyDescent="0.3">
      <c r="AE221" s="16"/>
      <c r="AF221" s="16"/>
      <c r="AG221" s="16"/>
      <c r="AH221" s="16"/>
      <c r="AI221" s="16"/>
      <c r="CZ221" s="64"/>
      <c r="DA221" s="64"/>
      <c r="DF221" s="52" t="s">
        <v>127</v>
      </c>
      <c r="DG221" s="52">
        <f t="shared" si="3"/>
        <v>3159.26</v>
      </c>
    </row>
    <row r="222" spans="2:111" x14ac:dyDescent="0.3">
      <c r="F222" s="30"/>
      <c r="AE222" s="16"/>
      <c r="AF222" s="16"/>
      <c r="AG222" s="16"/>
      <c r="AH222" s="16"/>
      <c r="AI222" s="16"/>
      <c r="CZ222" s="64"/>
      <c r="DA222" s="64"/>
      <c r="DF222" s="54" t="s">
        <v>96</v>
      </c>
      <c r="DG222" s="52">
        <f>+SUMIF($T$7:$T$211,DF222,$DG$7:$DG$211)</f>
        <v>25240.350000000002</v>
      </c>
    </row>
    <row r="223" spans="2:111" x14ac:dyDescent="0.3">
      <c r="CZ223" s="66"/>
      <c r="DA223" s="66"/>
      <c r="DF223" s="25"/>
      <c r="DG223" s="55">
        <f>SUM(DG215:DG222)</f>
        <v>988404.37529999996</v>
      </c>
    </row>
    <row r="224" spans="2:111" x14ac:dyDescent="0.3">
      <c r="DF224" s="25"/>
      <c r="DG224" s="25"/>
    </row>
    <row r="225" spans="104:118" x14ac:dyDescent="0.3">
      <c r="CZ225" s="65"/>
      <c r="DA225" s="65"/>
      <c r="DF225" s="60" t="s">
        <v>2</v>
      </c>
      <c r="DG225" s="60" t="s">
        <v>1432</v>
      </c>
    </row>
    <row r="226" spans="104:118" x14ac:dyDescent="0.3">
      <c r="CZ226" s="65"/>
      <c r="DA226" s="65"/>
      <c r="DF226" s="60" t="s">
        <v>105</v>
      </c>
      <c r="DG226" s="60">
        <f>SUMIF($D$7:$D$211,DF226,$DG$7:$DG$211)-DG222</f>
        <v>759605.83000000007</v>
      </c>
      <c r="DI226" s="62"/>
    </row>
    <row r="227" spans="104:118" x14ac:dyDescent="0.3">
      <c r="CZ227" s="65"/>
      <c r="DA227" s="65"/>
      <c r="DF227" s="60" t="s">
        <v>109</v>
      </c>
      <c r="DG227" s="60">
        <f>SUMIF($D$7:$D$211,DF227,$DG$7:$DG$211)</f>
        <v>85716.389999999985</v>
      </c>
      <c r="DI227" s="62"/>
    </row>
    <row r="228" spans="104:118" x14ac:dyDescent="0.3">
      <c r="CZ228" s="65"/>
      <c r="DA228" s="65"/>
      <c r="DF228" s="60" t="s">
        <v>126</v>
      </c>
      <c r="DG228" s="60">
        <f>SUMIF($D$7:$D$211,DF228,$DG$7:$DG$211)</f>
        <v>83561.290000000008</v>
      </c>
      <c r="DI228" s="62"/>
    </row>
    <row r="229" spans="104:118" x14ac:dyDescent="0.3">
      <c r="CZ229" s="65"/>
      <c r="DA229" s="65"/>
      <c r="DF229" s="60" t="s">
        <v>153</v>
      </c>
      <c r="DG229" s="60">
        <f>SUMIF($D$7:$D$211,DF229,$DG$7:$DG$211)</f>
        <v>34280.515299999999</v>
      </c>
      <c r="DI229" s="62"/>
    </row>
    <row r="230" spans="104:118" x14ac:dyDescent="0.3">
      <c r="CZ230" s="65"/>
      <c r="DA230" s="65"/>
      <c r="DF230" s="60" t="s">
        <v>1433</v>
      </c>
      <c r="DG230" s="60">
        <f>SUMIF($D$7:$D$211,DF230,$DG$7:$DG$211)</f>
        <v>0</v>
      </c>
      <c r="DJ230" s="2"/>
      <c r="DK230" s="2"/>
      <c r="DL230" s="2"/>
      <c r="DM230" s="2"/>
      <c r="DN230" s="2"/>
    </row>
    <row r="231" spans="104:118" x14ac:dyDescent="0.3">
      <c r="CZ231" s="65"/>
      <c r="DA231" s="65"/>
      <c r="DF231" s="61"/>
      <c r="DG231" s="55">
        <f>SUM(DG226:DG230)</f>
        <v>963164.0253000001</v>
      </c>
    </row>
  </sheetData>
  <sortState xmlns:xlrd2="http://schemas.microsoft.com/office/spreadsheetml/2017/richdata2" ref="B7:CY192">
    <sortCondition ref="H7:H192"/>
  </sortState>
  <mergeCells count="2">
    <mergeCell ref="B3:G3"/>
    <mergeCell ref="B4:G4"/>
  </mergeCells>
  <pageMargins left="0.75" right="0.75" top="0.75" bottom="0.5" header="0.5" footer="0.7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E92D-44CB-47EF-A8C7-1FFE56F5EB4B}">
  <dimension ref="A3:AJ42"/>
  <sheetViews>
    <sheetView showGridLines="0" zoomScale="67" zoomScaleNormal="60" workbookViewId="0">
      <pane xSplit="9" ySplit="7" topLeftCell="J13" activePane="bottomRight" state="frozen"/>
      <selection pane="topRight" activeCell="K1" sqref="K1"/>
      <selection pane="bottomLeft" activeCell="A8" sqref="A8"/>
      <selection pane="bottomRight" activeCell="G40" sqref="G40"/>
    </sheetView>
  </sheetViews>
  <sheetFormatPr baseColWidth="10" defaultColWidth="9.1796875" defaultRowHeight="13" x14ac:dyDescent="0.3"/>
  <cols>
    <col min="1" max="1" width="3.7265625" style="1" customWidth="1"/>
    <col min="2" max="2" width="15.26953125" style="1" customWidth="1"/>
    <col min="3" max="3" width="22.7265625" style="1" customWidth="1"/>
    <col min="4" max="4" width="11.7265625" style="1" customWidth="1"/>
    <col min="5" max="5" width="16.1796875" style="1" customWidth="1"/>
    <col min="6" max="6" width="12.7265625" style="1" bestFit="1" customWidth="1"/>
    <col min="7" max="7" width="18.54296875" style="1" bestFit="1" customWidth="1"/>
    <col min="8" max="8" width="10.7265625" style="1" customWidth="1"/>
    <col min="9" max="9" width="11.54296875" style="1" customWidth="1"/>
    <col min="10" max="10" width="5.453125" style="1" customWidth="1"/>
    <col min="11" max="11" width="12.7265625" style="1" customWidth="1"/>
    <col min="12" max="12" width="38.7265625" style="1" customWidth="1"/>
    <col min="13" max="13" width="23.1796875" style="1" customWidth="1"/>
    <col min="14" max="14" width="22.26953125" style="1" customWidth="1"/>
    <col min="15" max="15" width="10.7265625" style="1" customWidth="1"/>
    <col min="16" max="16" width="44.26953125" style="1" bestFit="1" customWidth="1"/>
    <col min="17" max="17" width="57.26953125" style="1" customWidth="1"/>
    <col min="18" max="18" width="46.1796875" style="1" bestFit="1" customWidth="1"/>
    <col min="19" max="19" width="9" style="1" customWidth="1"/>
    <col min="20" max="20" width="23.54296875" style="1" bestFit="1" customWidth="1"/>
    <col min="21" max="21" width="17.1796875" style="1" customWidth="1"/>
    <col min="22" max="22" width="17.1796875" style="43" customWidth="1"/>
    <col min="23" max="23" width="17.54296875" style="43" customWidth="1"/>
    <col min="24" max="24" width="21.7265625" style="1" bestFit="1" customWidth="1"/>
    <col min="25" max="25" width="17.453125" style="46" customWidth="1"/>
    <col min="26" max="26" width="13" style="1" customWidth="1"/>
    <col min="27" max="27" width="15.1796875" style="1" customWidth="1"/>
    <col min="28" max="29" width="11.453125" style="1" customWidth="1"/>
    <col min="30" max="31" width="13.26953125" style="1" customWidth="1"/>
    <col min="32" max="32" width="12.54296875" style="1" customWidth="1"/>
    <col min="33" max="34" width="15" style="1" customWidth="1"/>
    <col min="35" max="36" width="12.54296875" style="1" customWidth="1"/>
    <col min="37" max="16384" width="9.1796875" style="1"/>
  </cols>
  <sheetData>
    <row r="3" spans="1:36" x14ac:dyDescent="0.3">
      <c r="B3" s="2" t="s">
        <v>0</v>
      </c>
    </row>
    <row r="4" spans="1:36" x14ac:dyDescent="0.3">
      <c r="B4" s="2" t="str">
        <f>Empleados!B4</f>
        <v>Año: 2025 - Periodo: 9</v>
      </c>
    </row>
    <row r="6" spans="1:36" s="23" customFormat="1" ht="16.149999999999999" customHeight="1" x14ac:dyDescent="0.35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V6" s="45"/>
      <c r="W6" s="45"/>
      <c r="Y6" s="47"/>
    </row>
    <row r="7" spans="1:36" s="26" customFormat="1" ht="45" customHeight="1" x14ac:dyDescent="0.35">
      <c r="A7" s="49" t="s">
        <v>1</v>
      </c>
      <c r="B7" s="49" t="s">
        <v>130</v>
      </c>
      <c r="C7" s="49" t="s">
        <v>2</v>
      </c>
      <c r="D7" s="49" t="s">
        <v>3</v>
      </c>
      <c r="E7" s="49" t="s">
        <v>4</v>
      </c>
      <c r="F7" s="49" t="s">
        <v>5</v>
      </c>
      <c r="G7" s="49" t="s">
        <v>6</v>
      </c>
      <c r="H7" s="49" t="s">
        <v>7</v>
      </c>
      <c r="I7" s="49" t="s">
        <v>8</v>
      </c>
      <c r="J7" s="49" t="s">
        <v>9</v>
      </c>
      <c r="K7" s="49" t="s">
        <v>10</v>
      </c>
      <c r="L7" s="49" t="s">
        <v>11</v>
      </c>
      <c r="M7" s="49" t="s">
        <v>12</v>
      </c>
      <c r="N7" s="49" t="s">
        <v>13</v>
      </c>
      <c r="O7" s="49" t="s">
        <v>14</v>
      </c>
      <c r="P7" s="49" t="s">
        <v>15</v>
      </c>
      <c r="Q7" s="49" t="s">
        <v>16</v>
      </c>
      <c r="R7" s="49" t="s">
        <v>18</v>
      </c>
      <c r="S7" s="49" t="s">
        <v>19</v>
      </c>
      <c r="T7" s="49" t="s">
        <v>20</v>
      </c>
      <c r="U7" s="49" t="s">
        <v>23</v>
      </c>
      <c r="V7" s="51" t="s">
        <v>24</v>
      </c>
      <c r="W7" s="49" t="s">
        <v>25</v>
      </c>
      <c r="X7" s="49" t="s">
        <v>26</v>
      </c>
      <c r="Y7" s="42" t="s">
        <v>29</v>
      </c>
      <c r="Z7" s="49" t="s">
        <v>97</v>
      </c>
      <c r="AA7" s="49" t="s">
        <v>1362</v>
      </c>
      <c r="AB7" s="49" t="s">
        <v>150</v>
      </c>
      <c r="AC7" s="49" t="s">
        <v>40</v>
      </c>
      <c r="AD7" s="49" t="s">
        <v>1434</v>
      </c>
      <c r="AE7" s="41" t="s">
        <v>42</v>
      </c>
      <c r="AF7" s="49" t="s">
        <v>1148</v>
      </c>
      <c r="AG7" s="49" t="s">
        <v>51</v>
      </c>
      <c r="AH7" s="49" t="s">
        <v>151</v>
      </c>
      <c r="AI7" s="41" t="s">
        <v>52</v>
      </c>
      <c r="AJ7" s="41" t="s">
        <v>57</v>
      </c>
    </row>
    <row r="8" spans="1:36" s="31" customFormat="1" ht="14.5" x14ac:dyDescent="0.35">
      <c r="A8" s="20">
        <v>1</v>
      </c>
      <c r="B8" s="20" t="s">
        <v>133</v>
      </c>
      <c r="C8" s="20" t="s">
        <v>134</v>
      </c>
      <c r="D8" s="20" t="s">
        <v>1400</v>
      </c>
      <c r="E8" s="20" t="s">
        <v>1401</v>
      </c>
      <c r="F8" s="20" t="s">
        <v>324</v>
      </c>
      <c r="G8" s="20" t="s">
        <v>1402</v>
      </c>
      <c r="H8" s="20" t="s">
        <v>58</v>
      </c>
      <c r="I8" s="20" t="s">
        <v>1400</v>
      </c>
      <c r="J8" s="20" t="s">
        <v>59</v>
      </c>
      <c r="K8" s="21">
        <v>37430</v>
      </c>
      <c r="L8" s="20" t="s">
        <v>1403</v>
      </c>
      <c r="M8" s="20" t="s">
        <v>129</v>
      </c>
      <c r="N8" s="20" t="s">
        <v>60</v>
      </c>
      <c r="O8" s="20" t="s">
        <v>489</v>
      </c>
      <c r="P8" s="20" t="s">
        <v>490</v>
      </c>
      <c r="Q8" s="20" t="s">
        <v>135</v>
      </c>
      <c r="R8" s="20" t="s">
        <v>63</v>
      </c>
      <c r="S8" s="20" t="s">
        <v>64</v>
      </c>
      <c r="T8" s="20" t="s">
        <v>1404</v>
      </c>
      <c r="U8" s="21">
        <v>45845</v>
      </c>
      <c r="V8" s="56"/>
      <c r="W8" s="20"/>
      <c r="X8" s="27">
        <v>30</v>
      </c>
      <c r="Y8" s="29">
        <v>1130</v>
      </c>
      <c r="Z8" s="27">
        <v>1130</v>
      </c>
      <c r="AA8" s="20"/>
      <c r="AB8" s="27">
        <v>48.03</v>
      </c>
      <c r="AC8" s="20"/>
      <c r="AD8" s="20"/>
      <c r="AE8" s="28">
        <v>1178.03</v>
      </c>
      <c r="AF8" s="20"/>
      <c r="AG8" s="20"/>
      <c r="AH8" s="27">
        <v>48.03</v>
      </c>
      <c r="AI8" s="28">
        <v>48.03</v>
      </c>
      <c r="AJ8" s="28">
        <v>1130</v>
      </c>
    </row>
    <row r="9" spans="1:36" s="31" customFormat="1" ht="14.5" x14ac:dyDescent="0.35">
      <c r="A9" s="20">
        <v>2</v>
      </c>
      <c r="B9" s="20" t="s">
        <v>133</v>
      </c>
      <c r="C9" s="20" t="s">
        <v>134</v>
      </c>
      <c r="D9" s="20" t="s">
        <v>1785</v>
      </c>
      <c r="E9" s="20" t="s">
        <v>372</v>
      </c>
      <c r="F9" s="20" t="s">
        <v>1786</v>
      </c>
      <c r="G9" s="20" t="s">
        <v>1787</v>
      </c>
      <c r="H9" s="20" t="s">
        <v>58</v>
      </c>
      <c r="I9" s="20" t="s">
        <v>1785</v>
      </c>
      <c r="J9" s="20" t="s">
        <v>66</v>
      </c>
      <c r="K9" s="21">
        <v>37758</v>
      </c>
      <c r="L9" s="20" t="s">
        <v>1788</v>
      </c>
      <c r="M9" s="20" t="s">
        <v>129</v>
      </c>
      <c r="N9" s="20" t="s">
        <v>1789</v>
      </c>
      <c r="O9" s="20" t="s">
        <v>423</v>
      </c>
      <c r="P9" s="20" t="s">
        <v>424</v>
      </c>
      <c r="Q9" s="20" t="s">
        <v>135</v>
      </c>
      <c r="R9" s="20" t="s">
        <v>63</v>
      </c>
      <c r="S9" s="20" t="s">
        <v>64</v>
      </c>
      <c r="T9" s="20" t="s">
        <v>1790</v>
      </c>
      <c r="U9" s="21">
        <v>45915</v>
      </c>
      <c r="V9" s="56"/>
      <c r="W9" s="20"/>
      <c r="X9" s="27">
        <v>16</v>
      </c>
      <c r="Y9" s="29">
        <v>1130</v>
      </c>
      <c r="Z9" s="27">
        <v>602.66999999999996</v>
      </c>
      <c r="AA9" s="20"/>
      <c r="AB9" s="27">
        <v>48.03</v>
      </c>
      <c r="AC9" s="20"/>
      <c r="AD9" s="20"/>
      <c r="AE9" s="28">
        <v>650.70000000000005</v>
      </c>
      <c r="AF9" s="20"/>
      <c r="AG9" s="20"/>
      <c r="AH9" s="27">
        <v>48.03</v>
      </c>
      <c r="AI9" s="28">
        <v>48.03</v>
      </c>
      <c r="AJ9" s="28">
        <v>602.66999999999996</v>
      </c>
    </row>
    <row r="10" spans="1:36" s="31" customFormat="1" ht="14.5" x14ac:dyDescent="0.35">
      <c r="A10" s="20">
        <v>3</v>
      </c>
      <c r="B10" s="20" t="s">
        <v>133</v>
      </c>
      <c r="C10" s="20" t="s">
        <v>134</v>
      </c>
      <c r="D10" s="20" t="s">
        <v>1405</v>
      </c>
      <c r="E10" s="20" t="s">
        <v>1406</v>
      </c>
      <c r="F10" s="20" t="s">
        <v>682</v>
      </c>
      <c r="G10" s="20" t="s">
        <v>1407</v>
      </c>
      <c r="H10" s="20" t="s">
        <v>58</v>
      </c>
      <c r="I10" s="20" t="s">
        <v>1405</v>
      </c>
      <c r="J10" s="20" t="s">
        <v>59</v>
      </c>
      <c r="K10" s="21">
        <v>35878</v>
      </c>
      <c r="L10" s="20" t="s">
        <v>1264</v>
      </c>
      <c r="M10" s="20" t="s">
        <v>129</v>
      </c>
      <c r="N10" s="20" t="s">
        <v>70</v>
      </c>
      <c r="O10" s="20" t="s">
        <v>80</v>
      </c>
      <c r="P10" s="20" t="s">
        <v>81</v>
      </c>
      <c r="Q10" s="20" t="s">
        <v>135</v>
      </c>
      <c r="R10" s="20" t="s">
        <v>137</v>
      </c>
      <c r="S10" s="20" t="s">
        <v>64</v>
      </c>
      <c r="T10" s="20" t="s">
        <v>1408</v>
      </c>
      <c r="U10" s="21">
        <v>45839</v>
      </c>
      <c r="V10" s="56"/>
      <c r="W10" s="20"/>
      <c r="X10" s="27">
        <v>30</v>
      </c>
      <c r="Y10" s="29">
        <v>1130</v>
      </c>
      <c r="Z10" s="27">
        <v>1130</v>
      </c>
      <c r="AA10" s="20"/>
      <c r="AB10" s="27">
        <v>48.03</v>
      </c>
      <c r="AC10" s="20"/>
      <c r="AD10" s="20"/>
      <c r="AE10" s="28">
        <v>1178.03</v>
      </c>
      <c r="AF10" s="20"/>
      <c r="AG10" s="20"/>
      <c r="AH10" s="27">
        <v>48.03</v>
      </c>
      <c r="AI10" s="28">
        <v>48.03</v>
      </c>
      <c r="AJ10" s="28">
        <v>1130</v>
      </c>
    </row>
    <row r="11" spans="1:36" s="31" customFormat="1" ht="14.5" x14ac:dyDescent="0.35">
      <c r="A11" s="20">
        <v>4</v>
      </c>
      <c r="B11" s="20" t="s">
        <v>133</v>
      </c>
      <c r="C11" s="20" t="s">
        <v>134</v>
      </c>
      <c r="D11" s="20" t="s">
        <v>1409</v>
      </c>
      <c r="E11" s="20" t="s">
        <v>1410</v>
      </c>
      <c r="F11" s="20" t="s">
        <v>1411</v>
      </c>
      <c r="G11" s="20" t="s">
        <v>409</v>
      </c>
      <c r="H11" s="20" t="s">
        <v>58</v>
      </c>
      <c r="I11" s="20" t="s">
        <v>1409</v>
      </c>
      <c r="J11" s="20" t="s">
        <v>66</v>
      </c>
      <c r="K11" s="21">
        <v>37826</v>
      </c>
      <c r="L11" s="20" t="s">
        <v>181</v>
      </c>
      <c r="M11" s="20" t="s">
        <v>129</v>
      </c>
      <c r="N11" s="20" t="s">
        <v>60</v>
      </c>
      <c r="O11" s="20" t="s">
        <v>61</v>
      </c>
      <c r="P11" s="20" t="s">
        <v>62</v>
      </c>
      <c r="Q11" s="20" t="s">
        <v>135</v>
      </c>
      <c r="R11" s="20" t="s">
        <v>63</v>
      </c>
      <c r="S11" s="20" t="s">
        <v>64</v>
      </c>
      <c r="T11" s="20" t="s">
        <v>1412</v>
      </c>
      <c r="U11" s="21">
        <v>45845</v>
      </c>
      <c r="V11" s="56"/>
      <c r="W11" s="20"/>
      <c r="X11" s="27">
        <v>30</v>
      </c>
      <c r="Y11" s="29">
        <v>1130</v>
      </c>
      <c r="Z11" s="27">
        <v>1130</v>
      </c>
      <c r="AA11" s="20"/>
      <c r="AB11" s="27">
        <v>96.06</v>
      </c>
      <c r="AC11" s="20"/>
      <c r="AD11" s="20"/>
      <c r="AE11" s="28">
        <v>1226.06</v>
      </c>
      <c r="AF11" s="20"/>
      <c r="AG11" s="20"/>
      <c r="AH11" s="27">
        <v>96.06</v>
      </c>
      <c r="AI11" s="28">
        <v>96.06</v>
      </c>
      <c r="AJ11" s="28">
        <v>1130</v>
      </c>
    </row>
    <row r="12" spans="1:36" s="33" customFormat="1" ht="14.5" x14ac:dyDescent="0.35">
      <c r="A12" s="20">
        <v>5</v>
      </c>
      <c r="B12" s="20" t="s">
        <v>133</v>
      </c>
      <c r="C12" s="20" t="s">
        <v>134</v>
      </c>
      <c r="D12" s="20" t="s">
        <v>1127</v>
      </c>
      <c r="E12" s="20" t="s">
        <v>1128</v>
      </c>
      <c r="F12" s="20" t="s">
        <v>381</v>
      </c>
      <c r="G12" s="20" t="s">
        <v>1129</v>
      </c>
      <c r="H12" s="20" t="s">
        <v>58</v>
      </c>
      <c r="I12" s="20" t="s">
        <v>1127</v>
      </c>
      <c r="J12" s="20" t="s">
        <v>66</v>
      </c>
      <c r="K12" s="21">
        <v>37872</v>
      </c>
      <c r="L12" s="20" t="s">
        <v>1130</v>
      </c>
      <c r="M12" s="20" t="s">
        <v>327</v>
      </c>
      <c r="N12" s="20" t="s">
        <v>1098</v>
      </c>
      <c r="O12" s="20" t="s">
        <v>489</v>
      </c>
      <c r="P12" s="20" t="s">
        <v>490</v>
      </c>
      <c r="Q12" s="20" t="s">
        <v>142</v>
      </c>
      <c r="R12" s="20" t="s">
        <v>63</v>
      </c>
      <c r="S12" s="20" t="s">
        <v>64</v>
      </c>
      <c r="T12" s="20" t="s">
        <v>1131</v>
      </c>
      <c r="U12" s="21">
        <v>45698</v>
      </c>
      <c r="V12" s="56"/>
      <c r="W12" s="20"/>
      <c r="X12" s="27">
        <v>30</v>
      </c>
      <c r="Y12" s="29">
        <v>1130</v>
      </c>
      <c r="Z12" s="27">
        <v>1130</v>
      </c>
      <c r="AA12" s="20"/>
      <c r="AB12" s="27">
        <v>48.03</v>
      </c>
      <c r="AC12" s="27">
        <v>100</v>
      </c>
      <c r="AD12" s="20"/>
      <c r="AE12" s="28">
        <v>1278.03</v>
      </c>
      <c r="AF12" s="20"/>
      <c r="AG12" s="27">
        <v>100</v>
      </c>
      <c r="AH12" s="27">
        <v>48.03</v>
      </c>
      <c r="AI12" s="28">
        <v>148.03</v>
      </c>
      <c r="AJ12" s="28">
        <v>1130</v>
      </c>
    </row>
    <row r="13" spans="1:36" s="33" customFormat="1" ht="14.5" x14ac:dyDescent="0.35">
      <c r="A13" s="32">
        <v>6</v>
      </c>
      <c r="B13" s="32" t="s">
        <v>133</v>
      </c>
      <c r="C13" s="32" t="s">
        <v>134</v>
      </c>
      <c r="D13" s="32" t="s">
        <v>159</v>
      </c>
      <c r="E13" s="32" t="s">
        <v>120</v>
      </c>
      <c r="F13" s="32" t="s">
        <v>157</v>
      </c>
      <c r="G13" s="32" t="s">
        <v>158</v>
      </c>
      <c r="H13" s="32" t="s">
        <v>58</v>
      </c>
      <c r="I13" s="32" t="s">
        <v>159</v>
      </c>
      <c r="J13" s="32" t="s">
        <v>59</v>
      </c>
      <c r="K13" s="37">
        <v>37537</v>
      </c>
      <c r="L13" s="32" t="s">
        <v>1509</v>
      </c>
      <c r="M13" s="32" t="s">
        <v>129</v>
      </c>
      <c r="N13" s="32" t="s">
        <v>544</v>
      </c>
      <c r="O13" s="32" t="s">
        <v>71</v>
      </c>
      <c r="P13" s="32" t="s">
        <v>72</v>
      </c>
      <c r="Q13" s="32" t="s">
        <v>1313</v>
      </c>
      <c r="R13" s="32" t="s">
        <v>63</v>
      </c>
      <c r="S13" s="32" t="s">
        <v>64</v>
      </c>
      <c r="T13" s="32" t="s">
        <v>160</v>
      </c>
      <c r="U13" s="37">
        <v>45453</v>
      </c>
      <c r="V13" s="50">
        <v>45930</v>
      </c>
      <c r="W13" s="32" t="s">
        <v>1800</v>
      </c>
      <c r="X13" s="36">
        <v>30</v>
      </c>
      <c r="Y13" s="38">
        <v>1600</v>
      </c>
      <c r="Z13" s="36">
        <v>1600</v>
      </c>
      <c r="AA13" s="32">
        <v>746.66</v>
      </c>
      <c r="AB13" s="36">
        <v>48.03</v>
      </c>
      <c r="AC13" s="32"/>
      <c r="AD13" s="36">
        <v>40.5</v>
      </c>
      <c r="AE13" s="39">
        <v>2435.19</v>
      </c>
      <c r="AF13" s="36">
        <v>40.5</v>
      </c>
      <c r="AG13" s="32"/>
      <c r="AH13" s="36">
        <v>48.03</v>
      </c>
      <c r="AI13" s="39">
        <v>88.53</v>
      </c>
      <c r="AJ13" s="39">
        <f>AE13-AI13</f>
        <v>2346.66</v>
      </c>
    </row>
    <row r="14" spans="1:36" s="31" customFormat="1" ht="14.5" x14ac:dyDescent="0.35">
      <c r="A14" s="20">
        <v>7</v>
      </c>
      <c r="B14" s="20" t="s">
        <v>133</v>
      </c>
      <c r="C14" s="20" t="s">
        <v>134</v>
      </c>
      <c r="D14" s="20" t="s">
        <v>1413</v>
      </c>
      <c r="E14" s="20" t="s">
        <v>465</v>
      </c>
      <c r="F14" s="20" t="s">
        <v>370</v>
      </c>
      <c r="G14" s="20" t="s">
        <v>1414</v>
      </c>
      <c r="H14" s="20" t="s">
        <v>58</v>
      </c>
      <c r="I14" s="20" t="s">
        <v>1413</v>
      </c>
      <c r="J14" s="20" t="s">
        <v>66</v>
      </c>
      <c r="K14" s="21">
        <v>37991</v>
      </c>
      <c r="L14" s="20" t="s">
        <v>1187</v>
      </c>
      <c r="M14" s="20" t="s">
        <v>129</v>
      </c>
      <c r="N14" s="20" t="s">
        <v>75</v>
      </c>
      <c r="O14" s="20" t="s">
        <v>78</v>
      </c>
      <c r="P14" s="20" t="s">
        <v>79</v>
      </c>
      <c r="Q14" s="20" t="s">
        <v>135</v>
      </c>
      <c r="R14" s="20" t="s">
        <v>65</v>
      </c>
      <c r="S14" s="20" t="s">
        <v>73</v>
      </c>
      <c r="T14" s="20" t="s">
        <v>1415</v>
      </c>
      <c r="U14" s="21">
        <v>45859</v>
      </c>
      <c r="V14" s="56"/>
      <c r="W14" s="20"/>
      <c r="X14" s="27">
        <v>30</v>
      </c>
      <c r="Y14" s="29">
        <v>1130</v>
      </c>
      <c r="Z14" s="27">
        <v>1130</v>
      </c>
      <c r="AA14" s="20"/>
      <c r="AB14" s="27">
        <v>48.03</v>
      </c>
      <c r="AC14" s="20"/>
      <c r="AD14" s="27">
        <v>165</v>
      </c>
      <c r="AE14" s="28">
        <v>1343.03</v>
      </c>
      <c r="AF14" s="27">
        <v>165</v>
      </c>
      <c r="AG14" s="20"/>
      <c r="AH14" s="27">
        <v>48.03</v>
      </c>
      <c r="AI14" s="28">
        <v>213.03</v>
      </c>
      <c r="AJ14" s="28">
        <v>1130</v>
      </c>
    </row>
    <row r="15" spans="1:36" s="33" customFormat="1" ht="14.5" x14ac:dyDescent="0.35">
      <c r="A15" s="20">
        <v>8</v>
      </c>
      <c r="B15" s="20" t="s">
        <v>133</v>
      </c>
      <c r="C15" s="20" t="s">
        <v>134</v>
      </c>
      <c r="D15" s="20" t="s">
        <v>1084</v>
      </c>
      <c r="E15" s="20" t="s">
        <v>1085</v>
      </c>
      <c r="F15" s="20" t="s">
        <v>491</v>
      </c>
      <c r="G15" s="20" t="s">
        <v>1086</v>
      </c>
      <c r="H15" s="20" t="s">
        <v>58</v>
      </c>
      <c r="I15" s="20" t="s">
        <v>1084</v>
      </c>
      <c r="J15" s="20" t="s">
        <v>66</v>
      </c>
      <c r="K15" s="21">
        <v>37294</v>
      </c>
      <c r="L15" s="20" t="s">
        <v>1087</v>
      </c>
      <c r="M15" s="20" t="s">
        <v>327</v>
      </c>
      <c r="N15" s="20" t="s">
        <v>67</v>
      </c>
      <c r="O15" s="20" t="s">
        <v>68</v>
      </c>
      <c r="P15" s="20" t="s">
        <v>69</v>
      </c>
      <c r="Q15" s="20" t="s">
        <v>135</v>
      </c>
      <c r="R15" s="20" t="s">
        <v>137</v>
      </c>
      <c r="S15" s="20" t="s">
        <v>64</v>
      </c>
      <c r="T15" s="20" t="s">
        <v>1182</v>
      </c>
      <c r="U15" s="21">
        <v>45670</v>
      </c>
      <c r="V15" s="56"/>
      <c r="W15" s="20"/>
      <c r="X15" s="27">
        <v>30</v>
      </c>
      <c r="Y15" s="29">
        <v>1130</v>
      </c>
      <c r="Z15" s="27">
        <v>1130</v>
      </c>
      <c r="AA15" s="20"/>
      <c r="AB15" s="27">
        <v>48.03</v>
      </c>
      <c r="AC15" s="20"/>
      <c r="AD15" s="27">
        <v>258</v>
      </c>
      <c r="AE15" s="28">
        <v>1436.03</v>
      </c>
      <c r="AF15" s="27">
        <v>258</v>
      </c>
      <c r="AG15" s="20"/>
      <c r="AH15" s="27">
        <v>48.03</v>
      </c>
      <c r="AI15" s="28">
        <v>306.02999999999997</v>
      </c>
      <c r="AJ15" s="28">
        <v>1130</v>
      </c>
    </row>
    <row r="16" spans="1:36" s="31" customFormat="1" ht="14.5" x14ac:dyDescent="0.35">
      <c r="A16" s="20">
        <v>9</v>
      </c>
      <c r="B16" s="20" t="s">
        <v>133</v>
      </c>
      <c r="C16" s="20" t="s">
        <v>134</v>
      </c>
      <c r="D16" s="20" t="s">
        <v>1416</v>
      </c>
      <c r="E16" s="20" t="s">
        <v>399</v>
      </c>
      <c r="F16" s="20" t="s">
        <v>1417</v>
      </c>
      <c r="G16" s="20" t="s">
        <v>100</v>
      </c>
      <c r="H16" s="20" t="s">
        <v>58</v>
      </c>
      <c r="I16" s="20" t="s">
        <v>1416</v>
      </c>
      <c r="J16" s="20" t="s">
        <v>59</v>
      </c>
      <c r="K16" s="21">
        <v>35291</v>
      </c>
      <c r="L16" s="20" t="s">
        <v>1418</v>
      </c>
      <c r="M16" s="20" t="s">
        <v>129</v>
      </c>
      <c r="N16" s="20" t="s">
        <v>1419</v>
      </c>
      <c r="O16" s="20" t="s">
        <v>474</v>
      </c>
      <c r="P16" s="20" t="s">
        <v>475</v>
      </c>
      <c r="Q16" s="20" t="s">
        <v>135</v>
      </c>
      <c r="R16" s="20" t="s">
        <v>65</v>
      </c>
      <c r="S16" s="20" t="s">
        <v>73</v>
      </c>
      <c r="T16" s="20" t="s">
        <v>1420</v>
      </c>
      <c r="U16" s="21">
        <v>45859</v>
      </c>
      <c r="V16" s="56"/>
      <c r="W16" s="20"/>
      <c r="X16" s="27">
        <v>30</v>
      </c>
      <c r="Y16" s="29">
        <v>1130</v>
      </c>
      <c r="Z16" s="27">
        <v>1130</v>
      </c>
      <c r="AA16" s="20"/>
      <c r="AB16" s="27">
        <v>48.03</v>
      </c>
      <c r="AC16" s="20"/>
      <c r="AD16" s="27">
        <v>246.5</v>
      </c>
      <c r="AE16" s="28">
        <v>1424.53</v>
      </c>
      <c r="AF16" s="27">
        <v>246.5</v>
      </c>
      <c r="AG16" s="20"/>
      <c r="AH16" s="27">
        <v>48.03</v>
      </c>
      <c r="AI16" s="28">
        <v>294.52999999999997</v>
      </c>
      <c r="AJ16" s="28">
        <v>1130</v>
      </c>
    </row>
    <row r="17" spans="1:36" s="33" customFormat="1" ht="14.5" x14ac:dyDescent="0.35">
      <c r="A17" s="32">
        <v>10</v>
      </c>
      <c r="B17" s="32" t="s">
        <v>133</v>
      </c>
      <c r="C17" s="32" t="s">
        <v>134</v>
      </c>
      <c r="D17" s="32" t="s">
        <v>1265</v>
      </c>
      <c r="E17" s="32" t="s">
        <v>1266</v>
      </c>
      <c r="F17" s="32" t="s">
        <v>1267</v>
      </c>
      <c r="G17" s="32" t="s">
        <v>1268</v>
      </c>
      <c r="H17" s="32" t="s">
        <v>58</v>
      </c>
      <c r="I17" s="32" t="s">
        <v>1265</v>
      </c>
      <c r="J17" s="32" t="s">
        <v>59</v>
      </c>
      <c r="K17" s="37">
        <v>37303</v>
      </c>
      <c r="L17" s="32" t="s">
        <v>1269</v>
      </c>
      <c r="M17" s="32" t="s">
        <v>129</v>
      </c>
      <c r="N17" s="32" t="s">
        <v>67</v>
      </c>
      <c r="O17" s="32" t="s">
        <v>74</v>
      </c>
      <c r="P17" s="32" t="s">
        <v>1152</v>
      </c>
      <c r="Q17" s="32" t="s">
        <v>135</v>
      </c>
      <c r="R17" s="32" t="s">
        <v>63</v>
      </c>
      <c r="S17" s="32" t="s">
        <v>64</v>
      </c>
      <c r="T17" s="32" t="s">
        <v>1421</v>
      </c>
      <c r="U17" s="37">
        <v>45748</v>
      </c>
      <c r="V17" s="50">
        <v>45930</v>
      </c>
      <c r="W17" s="32" t="s">
        <v>1800</v>
      </c>
      <c r="X17" s="36">
        <v>30</v>
      </c>
      <c r="Y17" s="38">
        <v>1130</v>
      </c>
      <c r="Z17" s="36">
        <v>1130</v>
      </c>
      <c r="AA17" s="32">
        <v>565</v>
      </c>
      <c r="AB17" s="36">
        <v>48.03</v>
      </c>
      <c r="AC17" s="32"/>
      <c r="AD17" s="36">
        <v>238.5</v>
      </c>
      <c r="AE17" s="39">
        <v>1981.53</v>
      </c>
      <c r="AF17" s="36">
        <v>238.5</v>
      </c>
      <c r="AG17" s="32"/>
      <c r="AH17" s="36">
        <v>48.03</v>
      </c>
      <c r="AI17" s="39">
        <v>286.52999999999997</v>
      </c>
      <c r="AJ17" s="39">
        <v>1695</v>
      </c>
    </row>
    <row r="18" spans="1:36" s="33" customFormat="1" ht="14.5" x14ac:dyDescent="0.35">
      <c r="A18" s="20">
        <v>11</v>
      </c>
      <c r="B18" s="20" t="s">
        <v>133</v>
      </c>
      <c r="C18" s="20" t="s">
        <v>134</v>
      </c>
      <c r="D18" s="20" t="s">
        <v>1510</v>
      </c>
      <c r="E18" s="20" t="s">
        <v>1511</v>
      </c>
      <c r="F18" s="20" t="s">
        <v>1512</v>
      </c>
      <c r="G18" s="20" t="s">
        <v>1513</v>
      </c>
      <c r="H18" s="20" t="s">
        <v>58</v>
      </c>
      <c r="I18" s="20" t="s">
        <v>1510</v>
      </c>
      <c r="J18" s="20" t="s">
        <v>66</v>
      </c>
      <c r="K18" s="21">
        <v>37499</v>
      </c>
      <c r="L18" s="20" t="s">
        <v>173</v>
      </c>
      <c r="M18" s="20" t="s">
        <v>129</v>
      </c>
      <c r="N18" s="20" t="s">
        <v>60</v>
      </c>
      <c r="O18" s="20" t="s">
        <v>76</v>
      </c>
      <c r="P18" s="20" t="s">
        <v>77</v>
      </c>
      <c r="Q18" s="20" t="s">
        <v>136</v>
      </c>
      <c r="R18" s="20" t="s">
        <v>137</v>
      </c>
      <c r="S18" s="20" t="s">
        <v>64</v>
      </c>
      <c r="T18" s="20" t="s">
        <v>1514</v>
      </c>
      <c r="U18" s="21">
        <v>45873</v>
      </c>
      <c r="V18" s="56"/>
      <c r="W18" s="20"/>
      <c r="X18" s="27">
        <v>30</v>
      </c>
      <c r="Y18" s="29">
        <v>1130</v>
      </c>
      <c r="Z18" s="27">
        <v>1130</v>
      </c>
      <c r="AA18" s="20"/>
      <c r="AB18" s="27">
        <v>48.03</v>
      </c>
      <c r="AC18" s="20"/>
      <c r="AD18" s="27"/>
      <c r="AE18" s="28">
        <v>1178.03</v>
      </c>
      <c r="AF18" s="27"/>
      <c r="AG18" s="20"/>
      <c r="AH18" s="27">
        <v>48.03</v>
      </c>
      <c r="AI18" s="28">
        <v>48.03</v>
      </c>
      <c r="AJ18" s="28">
        <v>1130</v>
      </c>
    </row>
    <row r="19" spans="1:36" s="31" customFormat="1" ht="14.5" x14ac:dyDescent="0.35">
      <c r="A19" s="20">
        <v>12</v>
      </c>
      <c r="B19" s="20" t="s">
        <v>133</v>
      </c>
      <c r="C19" s="20" t="s">
        <v>134</v>
      </c>
      <c r="D19" s="20" t="s">
        <v>1791</v>
      </c>
      <c r="E19" s="20" t="s">
        <v>1792</v>
      </c>
      <c r="F19" s="20" t="s">
        <v>1793</v>
      </c>
      <c r="G19" s="20" t="s">
        <v>1794</v>
      </c>
      <c r="H19" s="20" t="s">
        <v>58</v>
      </c>
      <c r="I19" s="20" t="s">
        <v>1791</v>
      </c>
      <c r="J19" s="20" t="s">
        <v>66</v>
      </c>
      <c r="K19" s="21">
        <v>37512</v>
      </c>
      <c r="L19" s="20" t="s">
        <v>1795</v>
      </c>
      <c r="M19" s="20" t="s">
        <v>129</v>
      </c>
      <c r="N19" s="20" t="s">
        <v>70</v>
      </c>
      <c r="O19" s="20" t="s">
        <v>321</v>
      </c>
      <c r="P19" s="20" t="s">
        <v>322</v>
      </c>
      <c r="Q19" s="20" t="s">
        <v>142</v>
      </c>
      <c r="R19" s="20" t="s">
        <v>63</v>
      </c>
      <c r="S19" s="20" t="s">
        <v>64</v>
      </c>
      <c r="T19" s="20" t="s">
        <v>1796</v>
      </c>
      <c r="U19" s="21">
        <v>45915</v>
      </c>
      <c r="V19" s="56"/>
      <c r="W19" s="20"/>
      <c r="X19" s="27">
        <v>16</v>
      </c>
      <c r="Y19" s="29">
        <v>1130</v>
      </c>
      <c r="Z19" s="27">
        <v>602.66999999999996</v>
      </c>
      <c r="AA19" s="20"/>
      <c r="AB19" s="27">
        <v>48.03</v>
      </c>
      <c r="AC19" s="20"/>
      <c r="AD19" s="27"/>
      <c r="AE19" s="28">
        <v>650.70000000000005</v>
      </c>
      <c r="AF19" s="27"/>
      <c r="AG19" s="20"/>
      <c r="AH19" s="27">
        <v>48.03</v>
      </c>
      <c r="AI19" s="28">
        <v>48.03</v>
      </c>
      <c r="AJ19" s="28">
        <v>602.66999999999996</v>
      </c>
    </row>
    <row r="20" spans="1:36" s="33" customFormat="1" ht="14.5" x14ac:dyDescent="0.35">
      <c r="A20" s="20">
        <v>13</v>
      </c>
      <c r="B20" s="20" t="s">
        <v>133</v>
      </c>
      <c r="C20" s="20" t="s">
        <v>134</v>
      </c>
      <c r="D20" s="20" t="s">
        <v>1132</v>
      </c>
      <c r="E20" s="20" t="s">
        <v>1133</v>
      </c>
      <c r="F20" s="20" t="s">
        <v>121</v>
      </c>
      <c r="G20" s="20" t="s">
        <v>1134</v>
      </c>
      <c r="H20" s="20" t="s">
        <v>58</v>
      </c>
      <c r="I20" s="20" t="s">
        <v>1132</v>
      </c>
      <c r="J20" s="20" t="s">
        <v>66</v>
      </c>
      <c r="K20" s="21">
        <v>36750</v>
      </c>
      <c r="L20" s="20" t="s">
        <v>1135</v>
      </c>
      <c r="M20" s="20" t="s">
        <v>327</v>
      </c>
      <c r="N20" s="20" t="s">
        <v>106</v>
      </c>
      <c r="O20" s="20" t="s">
        <v>115</v>
      </c>
      <c r="P20" s="20" t="s">
        <v>131</v>
      </c>
      <c r="Q20" s="20" t="s">
        <v>142</v>
      </c>
      <c r="R20" s="20" t="s">
        <v>63</v>
      </c>
      <c r="S20" s="20" t="s">
        <v>64</v>
      </c>
      <c r="T20" s="20" t="s">
        <v>1136</v>
      </c>
      <c r="U20" s="21">
        <v>45693</v>
      </c>
      <c r="V20" s="56"/>
      <c r="W20" s="20"/>
      <c r="X20" s="27">
        <v>30</v>
      </c>
      <c r="Y20" s="29">
        <v>1130</v>
      </c>
      <c r="Z20" s="27">
        <v>1130</v>
      </c>
      <c r="AA20" s="20"/>
      <c r="AB20" s="27">
        <v>96.06</v>
      </c>
      <c r="AC20" s="20"/>
      <c r="AD20" s="27">
        <v>13.5</v>
      </c>
      <c r="AE20" s="28">
        <v>1239.56</v>
      </c>
      <c r="AF20" s="27">
        <v>13.5</v>
      </c>
      <c r="AG20" s="20"/>
      <c r="AH20" s="27">
        <v>96.06</v>
      </c>
      <c r="AI20" s="28">
        <v>109.56</v>
      </c>
      <c r="AJ20" s="28">
        <v>1130</v>
      </c>
    </row>
    <row r="21" spans="1:36" s="33" customFormat="1" ht="14.5" x14ac:dyDescent="0.35">
      <c r="A21" s="20">
        <v>14</v>
      </c>
      <c r="B21" s="20" t="s">
        <v>133</v>
      </c>
      <c r="C21" s="20" t="s">
        <v>134</v>
      </c>
      <c r="D21" s="20" t="s">
        <v>1797</v>
      </c>
      <c r="E21" s="20" t="s">
        <v>647</v>
      </c>
      <c r="F21" s="20" t="s">
        <v>1757</v>
      </c>
      <c r="G21" s="20" t="s">
        <v>1798</v>
      </c>
      <c r="H21" s="20" t="s">
        <v>58</v>
      </c>
      <c r="I21" s="20" t="s">
        <v>1797</v>
      </c>
      <c r="J21" s="20" t="s">
        <v>59</v>
      </c>
      <c r="K21" s="21">
        <v>37398</v>
      </c>
      <c r="L21" s="20" t="s">
        <v>1795</v>
      </c>
      <c r="M21" s="20" t="s">
        <v>129</v>
      </c>
      <c r="N21" s="20" t="s">
        <v>70</v>
      </c>
      <c r="O21" s="20" t="s">
        <v>113</v>
      </c>
      <c r="P21" s="20" t="s">
        <v>114</v>
      </c>
      <c r="Q21" s="20" t="s">
        <v>135</v>
      </c>
      <c r="R21" s="20" t="s">
        <v>63</v>
      </c>
      <c r="S21" s="20" t="s">
        <v>64</v>
      </c>
      <c r="T21" s="20" t="s">
        <v>1799</v>
      </c>
      <c r="U21" s="21">
        <v>45922</v>
      </c>
      <c r="V21" s="56"/>
      <c r="W21" s="20"/>
      <c r="X21" s="27">
        <v>9</v>
      </c>
      <c r="Y21" s="29">
        <v>1130</v>
      </c>
      <c r="Z21" s="27">
        <v>339</v>
      </c>
      <c r="AA21" s="20"/>
      <c r="AB21" s="27"/>
      <c r="AC21" s="20"/>
      <c r="AD21" s="27"/>
      <c r="AE21" s="28">
        <v>339</v>
      </c>
      <c r="AF21" s="27"/>
      <c r="AG21" s="20"/>
      <c r="AH21" s="27"/>
      <c r="AI21" s="28"/>
      <c r="AJ21" s="28">
        <v>339</v>
      </c>
    </row>
    <row r="22" spans="1:36" s="31" customFormat="1" ht="14.5" x14ac:dyDescent="0.35">
      <c r="A22" s="20">
        <v>15</v>
      </c>
      <c r="B22" s="20" t="s">
        <v>133</v>
      </c>
      <c r="C22" s="20" t="s">
        <v>134</v>
      </c>
      <c r="D22" s="20" t="s">
        <v>1363</v>
      </c>
      <c r="E22" s="20" t="s">
        <v>1364</v>
      </c>
      <c r="F22" s="20" t="s">
        <v>1365</v>
      </c>
      <c r="G22" s="20" t="s">
        <v>1366</v>
      </c>
      <c r="H22" s="20" t="s">
        <v>58</v>
      </c>
      <c r="I22" s="20" t="s">
        <v>1363</v>
      </c>
      <c r="J22" s="20" t="s">
        <v>59</v>
      </c>
      <c r="K22" s="21">
        <v>37045</v>
      </c>
      <c r="L22" s="20" t="s">
        <v>1367</v>
      </c>
      <c r="M22" s="20" t="s">
        <v>129</v>
      </c>
      <c r="N22" s="20" t="s">
        <v>67</v>
      </c>
      <c r="O22" s="20" t="s">
        <v>512</v>
      </c>
      <c r="P22" s="20" t="s">
        <v>513</v>
      </c>
      <c r="Q22" s="20" t="s">
        <v>136</v>
      </c>
      <c r="R22" s="20" t="s">
        <v>63</v>
      </c>
      <c r="S22" s="20" t="s">
        <v>64</v>
      </c>
      <c r="T22" s="20" t="s">
        <v>1368</v>
      </c>
      <c r="U22" s="21">
        <v>45824</v>
      </c>
      <c r="V22" s="56"/>
      <c r="W22" s="20"/>
      <c r="X22" s="27">
        <v>30</v>
      </c>
      <c r="Y22" s="29">
        <v>1600</v>
      </c>
      <c r="Z22" s="27">
        <v>1600</v>
      </c>
      <c r="AA22" s="20"/>
      <c r="AB22" s="27">
        <v>48.03</v>
      </c>
      <c r="AC22" s="20"/>
      <c r="AD22" s="27">
        <v>344.3</v>
      </c>
      <c r="AE22" s="28">
        <v>1992.33</v>
      </c>
      <c r="AF22" s="27">
        <v>344.3</v>
      </c>
      <c r="AG22" s="20"/>
      <c r="AH22" s="27">
        <v>48.03</v>
      </c>
      <c r="AI22" s="28">
        <v>392.33</v>
      </c>
      <c r="AJ22" s="28">
        <v>1600</v>
      </c>
    </row>
    <row r="23" spans="1:36" s="33" customFormat="1" ht="14.5" x14ac:dyDescent="0.35">
      <c r="A23" s="20">
        <v>16</v>
      </c>
      <c r="B23" s="20" t="s">
        <v>133</v>
      </c>
      <c r="C23" s="20" t="s">
        <v>134</v>
      </c>
      <c r="D23" s="20" t="s">
        <v>1137</v>
      </c>
      <c r="E23" s="20" t="s">
        <v>649</v>
      </c>
      <c r="F23" s="20" t="s">
        <v>746</v>
      </c>
      <c r="G23" s="20" t="s">
        <v>1138</v>
      </c>
      <c r="H23" s="20" t="s">
        <v>58</v>
      </c>
      <c r="I23" s="20" t="s">
        <v>1137</v>
      </c>
      <c r="J23" s="20" t="s">
        <v>66</v>
      </c>
      <c r="K23" s="21">
        <v>37739</v>
      </c>
      <c r="L23" s="20" t="s">
        <v>102</v>
      </c>
      <c r="M23" s="20" t="s">
        <v>327</v>
      </c>
      <c r="N23" s="20" t="s">
        <v>75</v>
      </c>
      <c r="O23" s="20" t="s">
        <v>423</v>
      </c>
      <c r="P23" s="20" t="s">
        <v>424</v>
      </c>
      <c r="Q23" s="20" t="s">
        <v>142</v>
      </c>
      <c r="R23" s="20" t="s">
        <v>63</v>
      </c>
      <c r="S23" s="20" t="s">
        <v>64</v>
      </c>
      <c r="T23" s="20" t="s">
        <v>1149</v>
      </c>
      <c r="U23" s="21">
        <v>45693</v>
      </c>
      <c r="V23" s="56"/>
      <c r="W23" s="20"/>
      <c r="X23" s="27">
        <v>30</v>
      </c>
      <c r="Y23" s="29">
        <v>1130</v>
      </c>
      <c r="Z23" s="27">
        <v>1130</v>
      </c>
      <c r="AA23" s="20"/>
      <c r="AB23" s="27">
        <v>48.03</v>
      </c>
      <c r="AC23" s="20"/>
      <c r="AD23" s="27"/>
      <c r="AE23" s="28">
        <v>1178.03</v>
      </c>
      <c r="AF23" s="27"/>
      <c r="AG23" s="20"/>
      <c r="AH23" s="27">
        <v>48.03</v>
      </c>
      <c r="AI23" s="28">
        <v>48.03</v>
      </c>
      <c r="AJ23" s="28">
        <v>1130</v>
      </c>
    </row>
    <row r="24" spans="1:36" s="31" customFormat="1" ht="14.5" x14ac:dyDescent="0.35">
      <c r="A24" s="20">
        <v>17</v>
      </c>
      <c r="B24" s="20" t="s">
        <v>133</v>
      </c>
      <c r="C24" s="20" t="s">
        <v>134</v>
      </c>
      <c r="D24" s="20" t="s">
        <v>1515</v>
      </c>
      <c r="E24" s="20" t="s">
        <v>1516</v>
      </c>
      <c r="F24" s="20" t="s">
        <v>1517</v>
      </c>
      <c r="G24" s="20" t="s">
        <v>1518</v>
      </c>
      <c r="H24" s="20" t="s">
        <v>58</v>
      </c>
      <c r="I24" s="20" t="s">
        <v>1515</v>
      </c>
      <c r="J24" s="20" t="s">
        <v>59</v>
      </c>
      <c r="K24" s="21">
        <v>35650</v>
      </c>
      <c r="L24" s="20" t="s">
        <v>1519</v>
      </c>
      <c r="M24" s="20" t="s">
        <v>129</v>
      </c>
      <c r="N24" s="20" t="s">
        <v>67</v>
      </c>
      <c r="O24" s="20" t="s">
        <v>74</v>
      </c>
      <c r="P24" s="20" t="s">
        <v>1152</v>
      </c>
      <c r="Q24" s="20" t="s">
        <v>142</v>
      </c>
      <c r="R24" s="20" t="s">
        <v>63</v>
      </c>
      <c r="S24" s="20" t="s">
        <v>73</v>
      </c>
      <c r="T24" s="20" t="s">
        <v>1520</v>
      </c>
      <c r="U24" s="21">
        <v>45894</v>
      </c>
      <c r="V24" s="56"/>
      <c r="W24" s="20"/>
      <c r="X24" s="27">
        <v>30</v>
      </c>
      <c r="Y24" s="29">
        <v>1130</v>
      </c>
      <c r="Z24" s="27">
        <v>1130</v>
      </c>
      <c r="AA24" s="20"/>
      <c r="AB24" s="27">
        <v>48.03</v>
      </c>
      <c r="AC24" s="20"/>
      <c r="AD24" s="27">
        <v>146.5</v>
      </c>
      <c r="AE24" s="28">
        <v>1324.53</v>
      </c>
      <c r="AF24" s="27">
        <v>146.5</v>
      </c>
      <c r="AG24" s="20"/>
      <c r="AH24" s="27">
        <v>48.03</v>
      </c>
      <c r="AI24" s="28">
        <v>194.53</v>
      </c>
      <c r="AJ24" s="28">
        <v>1130</v>
      </c>
    </row>
    <row r="25" spans="1:36" s="31" customFormat="1" ht="14.5" x14ac:dyDescent="0.35">
      <c r="A25" s="20">
        <v>18</v>
      </c>
      <c r="B25" s="20" t="s">
        <v>133</v>
      </c>
      <c r="C25" s="20" t="s">
        <v>134</v>
      </c>
      <c r="D25" s="20" t="s">
        <v>1314</v>
      </c>
      <c r="E25" s="20" t="s">
        <v>1315</v>
      </c>
      <c r="F25" s="20" t="s">
        <v>1316</v>
      </c>
      <c r="G25" s="20" t="s">
        <v>1317</v>
      </c>
      <c r="H25" s="20" t="s">
        <v>58</v>
      </c>
      <c r="I25" s="20" t="s">
        <v>1314</v>
      </c>
      <c r="J25" s="20" t="s">
        <v>59</v>
      </c>
      <c r="K25" s="21">
        <v>36198</v>
      </c>
      <c r="L25" s="20" t="s">
        <v>1369</v>
      </c>
      <c r="M25" s="20" t="s">
        <v>129</v>
      </c>
      <c r="N25" s="20" t="s">
        <v>67</v>
      </c>
      <c r="O25" s="20" t="s">
        <v>474</v>
      </c>
      <c r="P25" s="20" t="s">
        <v>475</v>
      </c>
      <c r="Q25" s="20" t="s">
        <v>142</v>
      </c>
      <c r="R25" s="20" t="s">
        <v>63</v>
      </c>
      <c r="S25" s="20" t="s">
        <v>64</v>
      </c>
      <c r="T25" s="20" t="s">
        <v>1318</v>
      </c>
      <c r="U25" s="21">
        <v>45782</v>
      </c>
      <c r="V25" s="56"/>
      <c r="W25" s="20"/>
      <c r="X25" s="27">
        <v>30</v>
      </c>
      <c r="Y25" s="29">
        <v>1130</v>
      </c>
      <c r="Z25" s="27">
        <v>1130</v>
      </c>
      <c r="AA25" s="20"/>
      <c r="AB25" s="27">
        <v>96.06</v>
      </c>
      <c r="AC25" s="20"/>
      <c r="AD25" s="27">
        <v>383.3</v>
      </c>
      <c r="AE25" s="28">
        <v>1609.36</v>
      </c>
      <c r="AF25" s="27">
        <v>383.3</v>
      </c>
      <c r="AG25" s="20"/>
      <c r="AH25" s="27">
        <v>96.06</v>
      </c>
      <c r="AI25" s="28">
        <v>479.36</v>
      </c>
      <c r="AJ25" s="28">
        <v>1130</v>
      </c>
    </row>
    <row r="26" spans="1:36" s="33" customFormat="1" ht="14.5" x14ac:dyDescent="0.35">
      <c r="A26" s="32">
        <v>19</v>
      </c>
      <c r="B26" s="32" t="s">
        <v>133</v>
      </c>
      <c r="C26" s="32" t="s">
        <v>134</v>
      </c>
      <c r="D26" s="32" t="s">
        <v>1319</v>
      </c>
      <c r="E26" s="32" t="s">
        <v>1320</v>
      </c>
      <c r="F26" s="32" t="s">
        <v>541</v>
      </c>
      <c r="G26" s="32" t="s">
        <v>1321</v>
      </c>
      <c r="H26" s="32" t="s">
        <v>58</v>
      </c>
      <c r="I26" s="32" t="s">
        <v>1319</v>
      </c>
      <c r="J26" s="32" t="s">
        <v>59</v>
      </c>
      <c r="K26" s="37">
        <v>35646</v>
      </c>
      <c r="L26" s="32" t="s">
        <v>1087</v>
      </c>
      <c r="M26" s="32" t="s">
        <v>129</v>
      </c>
      <c r="N26" s="32" t="s">
        <v>67</v>
      </c>
      <c r="O26" s="32" t="s">
        <v>68</v>
      </c>
      <c r="P26" s="32" t="s">
        <v>69</v>
      </c>
      <c r="Q26" s="32" t="s">
        <v>136</v>
      </c>
      <c r="R26" s="32" t="s">
        <v>63</v>
      </c>
      <c r="S26" s="32" t="s">
        <v>64</v>
      </c>
      <c r="T26" s="32" t="s">
        <v>1422</v>
      </c>
      <c r="U26" s="37">
        <v>45789</v>
      </c>
      <c r="V26" s="50">
        <v>45930</v>
      </c>
      <c r="W26" s="32" t="s">
        <v>1800</v>
      </c>
      <c r="X26" s="36">
        <v>30</v>
      </c>
      <c r="Y26" s="38">
        <v>1600</v>
      </c>
      <c r="Z26" s="36">
        <v>1600</v>
      </c>
      <c r="AA26" s="32"/>
      <c r="AB26" s="36">
        <v>48.03</v>
      </c>
      <c r="AC26" s="32"/>
      <c r="AD26" s="36">
        <v>462.6</v>
      </c>
      <c r="AE26" s="39">
        <v>2110.63</v>
      </c>
      <c r="AF26" s="36">
        <v>462.6</v>
      </c>
      <c r="AG26" s="32"/>
      <c r="AH26" s="36">
        <v>48.03</v>
      </c>
      <c r="AI26" s="39">
        <v>510.63</v>
      </c>
      <c r="AJ26" s="39">
        <v>1600</v>
      </c>
    </row>
    <row r="27" spans="1:36" s="33" customFormat="1" ht="14.5" x14ac:dyDescent="0.35">
      <c r="A27" s="20">
        <v>20</v>
      </c>
      <c r="B27" s="20" t="s">
        <v>133</v>
      </c>
      <c r="C27" s="20" t="s">
        <v>134</v>
      </c>
      <c r="D27" s="20" t="s">
        <v>1088</v>
      </c>
      <c r="E27" s="20" t="s">
        <v>1089</v>
      </c>
      <c r="F27" s="20" t="s">
        <v>1090</v>
      </c>
      <c r="G27" s="20" t="s">
        <v>1091</v>
      </c>
      <c r="H27" s="20" t="s">
        <v>58</v>
      </c>
      <c r="I27" s="20" t="s">
        <v>1088</v>
      </c>
      <c r="J27" s="20" t="s">
        <v>59</v>
      </c>
      <c r="K27" s="21">
        <v>37614</v>
      </c>
      <c r="L27" s="20" t="s">
        <v>1087</v>
      </c>
      <c r="M27" s="20" t="s">
        <v>327</v>
      </c>
      <c r="N27" s="20" t="s">
        <v>67</v>
      </c>
      <c r="O27" s="20" t="s">
        <v>68</v>
      </c>
      <c r="P27" s="20" t="s">
        <v>69</v>
      </c>
      <c r="Q27" s="20" t="s">
        <v>135</v>
      </c>
      <c r="R27" s="20" t="s">
        <v>65</v>
      </c>
      <c r="S27" s="20" t="s">
        <v>73</v>
      </c>
      <c r="T27" s="20" t="s">
        <v>1270</v>
      </c>
      <c r="U27" s="21">
        <v>45670</v>
      </c>
      <c r="V27" s="56"/>
      <c r="W27" s="20"/>
      <c r="X27" s="27">
        <v>30</v>
      </c>
      <c r="Y27" s="29">
        <v>1130</v>
      </c>
      <c r="Z27" s="27">
        <v>1130</v>
      </c>
      <c r="AA27" s="20"/>
      <c r="AB27" s="27">
        <v>48.03</v>
      </c>
      <c r="AC27" s="20"/>
      <c r="AD27" s="27">
        <v>395.8</v>
      </c>
      <c r="AE27" s="28">
        <v>1573.83</v>
      </c>
      <c r="AF27" s="27">
        <v>395.8</v>
      </c>
      <c r="AG27" s="20"/>
      <c r="AH27" s="27">
        <v>48.03</v>
      </c>
      <c r="AI27" s="28">
        <v>443.83</v>
      </c>
      <c r="AJ27" s="28">
        <v>1130</v>
      </c>
    </row>
    <row r="28" spans="1:36" s="31" customFormat="1" ht="14.5" x14ac:dyDescent="0.35">
      <c r="A28" s="20">
        <v>21</v>
      </c>
      <c r="B28" s="20" t="s">
        <v>133</v>
      </c>
      <c r="C28" s="20" t="s">
        <v>134</v>
      </c>
      <c r="D28" s="20" t="s">
        <v>1423</v>
      </c>
      <c r="E28" s="20" t="s">
        <v>682</v>
      </c>
      <c r="F28" s="20" t="s">
        <v>508</v>
      </c>
      <c r="G28" s="20" t="s">
        <v>1424</v>
      </c>
      <c r="H28" s="20" t="s">
        <v>58</v>
      </c>
      <c r="I28" s="20" t="s">
        <v>1423</v>
      </c>
      <c r="J28" s="20" t="s">
        <v>66</v>
      </c>
      <c r="K28" s="21">
        <v>37715</v>
      </c>
      <c r="L28" s="20" t="s">
        <v>1425</v>
      </c>
      <c r="M28" s="20" t="s">
        <v>129</v>
      </c>
      <c r="N28" s="20" t="s">
        <v>60</v>
      </c>
      <c r="O28" s="20" t="s">
        <v>76</v>
      </c>
      <c r="P28" s="20" t="s">
        <v>77</v>
      </c>
      <c r="Q28" s="20" t="s">
        <v>135</v>
      </c>
      <c r="R28" s="20" t="s">
        <v>65</v>
      </c>
      <c r="S28" s="20" t="s">
        <v>73</v>
      </c>
      <c r="T28" s="20" t="s">
        <v>1426</v>
      </c>
      <c r="U28" s="21">
        <v>45852</v>
      </c>
      <c r="V28" s="56"/>
      <c r="W28" s="20"/>
      <c r="X28" s="27">
        <v>30</v>
      </c>
      <c r="Y28" s="29">
        <v>1130</v>
      </c>
      <c r="Z28" s="27">
        <v>1130</v>
      </c>
      <c r="AA28" s="20"/>
      <c r="AB28" s="27">
        <v>48.03</v>
      </c>
      <c r="AC28" s="20"/>
      <c r="AD28" s="27"/>
      <c r="AE28" s="28">
        <v>1178.03</v>
      </c>
      <c r="AF28" s="27"/>
      <c r="AG28" s="20"/>
      <c r="AH28" s="27">
        <v>48.03</v>
      </c>
      <c r="AI28" s="28">
        <v>48.03</v>
      </c>
      <c r="AJ28" s="28">
        <v>1130</v>
      </c>
    </row>
    <row r="29" spans="1:36" s="31" customFormat="1" ht="14.5" x14ac:dyDescent="0.35">
      <c r="A29" s="20">
        <v>22</v>
      </c>
      <c r="B29" s="20" t="s">
        <v>133</v>
      </c>
      <c r="C29" s="20" t="s">
        <v>134</v>
      </c>
      <c r="D29" s="20" t="s">
        <v>172</v>
      </c>
      <c r="E29" s="20" t="s">
        <v>169</v>
      </c>
      <c r="F29" s="20" t="s">
        <v>170</v>
      </c>
      <c r="G29" s="20" t="s">
        <v>171</v>
      </c>
      <c r="H29" s="20" t="s">
        <v>58</v>
      </c>
      <c r="I29" s="20" t="s">
        <v>172</v>
      </c>
      <c r="J29" s="20" t="s">
        <v>66</v>
      </c>
      <c r="K29" s="21">
        <v>37139</v>
      </c>
      <c r="L29" s="20" t="s">
        <v>162</v>
      </c>
      <c r="M29" s="20" t="s">
        <v>129</v>
      </c>
      <c r="N29" s="20" t="s">
        <v>60</v>
      </c>
      <c r="O29" s="20" t="s">
        <v>389</v>
      </c>
      <c r="P29" s="20" t="s">
        <v>390</v>
      </c>
      <c r="Q29" s="20" t="s">
        <v>1313</v>
      </c>
      <c r="R29" s="20" t="s">
        <v>63</v>
      </c>
      <c r="S29" s="20" t="s">
        <v>64</v>
      </c>
      <c r="T29" s="20" t="s">
        <v>174</v>
      </c>
      <c r="U29" s="21">
        <v>45516</v>
      </c>
      <c r="V29" s="56"/>
      <c r="W29" s="20"/>
      <c r="X29" s="27">
        <v>30</v>
      </c>
      <c r="Y29" s="29">
        <v>1600</v>
      </c>
      <c r="Z29" s="27">
        <v>1600</v>
      </c>
      <c r="AA29" s="20"/>
      <c r="AB29" s="27">
        <v>48.03</v>
      </c>
      <c r="AC29" s="20">
        <v>100</v>
      </c>
      <c r="AD29" s="27"/>
      <c r="AE29" s="28">
        <v>1748.03</v>
      </c>
      <c r="AF29" s="27"/>
      <c r="AG29" s="20">
        <v>100</v>
      </c>
      <c r="AH29" s="27">
        <v>48.03</v>
      </c>
      <c r="AI29" s="28">
        <v>148.03</v>
      </c>
      <c r="AJ29" s="28">
        <v>1600</v>
      </c>
    </row>
    <row r="30" spans="1:36" s="33" customFormat="1" ht="14.5" x14ac:dyDescent="0.35">
      <c r="A30" s="20">
        <v>23</v>
      </c>
      <c r="B30" s="20" t="s">
        <v>133</v>
      </c>
      <c r="C30" s="20" t="s">
        <v>134</v>
      </c>
      <c r="D30" s="20" t="s">
        <v>1139</v>
      </c>
      <c r="E30" s="20" t="s">
        <v>381</v>
      </c>
      <c r="F30" s="20" t="s">
        <v>399</v>
      </c>
      <c r="G30" s="20" t="s">
        <v>1140</v>
      </c>
      <c r="H30" s="20" t="s">
        <v>58</v>
      </c>
      <c r="I30" s="20" t="s">
        <v>1139</v>
      </c>
      <c r="J30" s="20" t="s">
        <v>59</v>
      </c>
      <c r="K30" s="21">
        <v>37389</v>
      </c>
      <c r="L30" s="20" t="s">
        <v>1141</v>
      </c>
      <c r="M30" s="20" t="s">
        <v>327</v>
      </c>
      <c r="N30" s="20" t="s">
        <v>70</v>
      </c>
      <c r="O30" s="20" t="s">
        <v>483</v>
      </c>
      <c r="P30" s="20" t="s">
        <v>484</v>
      </c>
      <c r="Q30" s="20" t="s">
        <v>142</v>
      </c>
      <c r="R30" s="20" t="s">
        <v>137</v>
      </c>
      <c r="S30" s="20" t="s">
        <v>64</v>
      </c>
      <c r="T30" s="20" t="s">
        <v>1271</v>
      </c>
      <c r="U30" s="21">
        <v>45713</v>
      </c>
      <c r="V30" s="56"/>
      <c r="W30" s="20"/>
      <c r="X30" s="27">
        <v>30</v>
      </c>
      <c r="Y30" s="29">
        <v>1130</v>
      </c>
      <c r="Z30" s="27">
        <v>1130</v>
      </c>
      <c r="AA30" s="20"/>
      <c r="AB30" s="27">
        <v>48.03</v>
      </c>
      <c r="AC30" s="20"/>
      <c r="AD30" s="27"/>
      <c r="AE30" s="28">
        <v>1178.03</v>
      </c>
      <c r="AF30" s="27"/>
      <c r="AG30" s="20"/>
      <c r="AH30" s="27">
        <v>48.03</v>
      </c>
      <c r="AI30" s="28">
        <v>48.03</v>
      </c>
      <c r="AJ30" s="28">
        <v>1130</v>
      </c>
    </row>
    <row r="31" spans="1:36" s="44" customFormat="1" ht="14.5" x14ac:dyDescent="0.35">
      <c r="A31" s="20">
        <v>24</v>
      </c>
      <c r="B31" s="20" t="s">
        <v>133</v>
      </c>
      <c r="C31" s="20" t="s">
        <v>134</v>
      </c>
      <c r="D31" s="20" t="s">
        <v>1142</v>
      </c>
      <c r="E31" s="20" t="s">
        <v>747</v>
      </c>
      <c r="F31" s="20" t="s">
        <v>1143</v>
      </c>
      <c r="G31" s="20" t="s">
        <v>1144</v>
      </c>
      <c r="H31" s="20" t="s">
        <v>58</v>
      </c>
      <c r="I31" s="20" t="s">
        <v>1142</v>
      </c>
      <c r="J31" s="20" t="s">
        <v>59</v>
      </c>
      <c r="K31" s="21">
        <v>37684</v>
      </c>
      <c r="L31" s="20" t="s">
        <v>181</v>
      </c>
      <c r="M31" s="20" t="s">
        <v>327</v>
      </c>
      <c r="N31" s="20" t="s">
        <v>60</v>
      </c>
      <c r="O31" s="20" t="s">
        <v>122</v>
      </c>
      <c r="P31" s="20" t="s">
        <v>123</v>
      </c>
      <c r="Q31" s="20" t="s">
        <v>142</v>
      </c>
      <c r="R31" s="20" t="s">
        <v>63</v>
      </c>
      <c r="S31" s="20" t="s">
        <v>64</v>
      </c>
      <c r="T31" s="20" t="s">
        <v>1145</v>
      </c>
      <c r="U31" s="21">
        <v>45712</v>
      </c>
      <c r="V31" s="56"/>
      <c r="W31" s="20"/>
      <c r="X31" s="27">
        <v>30</v>
      </c>
      <c r="Y31" s="29">
        <v>1130</v>
      </c>
      <c r="Z31" s="27">
        <v>1130</v>
      </c>
      <c r="AA31" s="20"/>
      <c r="AB31" s="27">
        <v>96.06</v>
      </c>
      <c r="AC31" s="20"/>
      <c r="AD31" s="27"/>
      <c r="AE31" s="28">
        <v>1226.06</v>
      </c>
      <c r="AF31" s="27"/>
      <c r="AG31" s="20"/>
      <c r="AH31" s="27">
        <v>96.06</v>
      </c>
      <c r="AI31" s="28">
        <v>96.06</v>
      </c>
      <c r="AJ31" s="28">
        <v>1130</v>
      </c>
    </row>
    <row r="32" spans="1:36" s="44" customFormat="1" ht="14.5" x14ac:dyDescent="0.35">
      <c r="A32" s="20">
        <v>25</v>
      </c>
      <c r="B32" s="20" t="s">
        <v>133</v>
      </c>
      <c r="C32" s="20" t="s">
        <v>134</v>
      </c>
      <c r="D32" s="20" t="s">
        <v>1427</v>
      </c>
      <c r="E32" s="20" t="s">
        <v>1428</v>
      </c>
      <c r="F32" s="20" t="s">
        <v>592</v>
      </c>
      <c r="G32" s="20" t="s">
        <v>1429</v>
      </c>
      <c r="H32" s="20" t="s">
        <v>58</v>
      </c>
      <c r="I32" s="20" t="s">
        <v>1427</v>
      </c>
      <c r="J32" s="20" t="s">
        <v>66</v>
      </c>
      <c r="K32" s="21">
        <v>38057</v>
      </c>
      <c r="L32" s="20" t="s">
        <v>1430</v>
      </c>
      <c r="M32" s="20" t="s">
        <v>129</v>
      </c>
      <c r="N32" s="20" t="s">
        <v>522</v>
      </c>
      <c r="O32" s="20" t="s">
        <v>523</v>
      </c>
      <c r="P32" s="20" t="s">
        <v>524</v>
      </c>
      <c r="Q32" s="20" t="s">
        <v>135</v>
      </c>
      <c r="R32" s="20" t="s">
        <v>63</v>
      </c>
      <c r="S32" s="20" t="s">
        <v>64</v>
      </c>
      <c r="T32" s="20" t="s">
        <v>1431</v>
      </c>
      <c r="U32" s="21">
        <v>45839</v>
      </c>
      <c r="V32" s="56"/>
      <c r="W32" s="20"/>
      <c r="X32" s="27">
        <v>30</v>
      </c>
      <c r="Y32" s="29">
        <v>1130</v>
      </c>
      <c r="Z32" s="27">
        <v>1130</v>
      </c>
      <c r="AA32" s="20"/>
      <c r="AB32" s="27">
        <v>48.03</v>
      </c>
      <c r="AC32" s="20"/>
      <c r="AD32" s="27"/>
      <c r="AE32" s="28">
        <v>1178.03</v>
      </c>
      <c r="AF32" s="27"/>
      <c r="AG32" s="20"/>
      <c r="AH32" s="27">
        <v>48.03</v>
      </c>
      <c r="AI32" s="28">
        <v>48.03</v>
      </c>
      <c r="AJ32" s="28">
        <v>1130</v>
      </c>
    </row>
    <row r="33" spans="1:36" s="44" customFormat="1" ht="14.5" x14ac:dyDescent="0.35">
      <c r="A33" s="20">
        <v>26</v>
      </c>
      <c r="B33" s="20" t="s">
        <v>133</v>
      </c>
      <c r="C33" s="20" t="s">
        <v>134</v>
      </c>
      <c r="D33" s="20" t="s">
        <v>1183</v>
      </c>
      <c r="E33" s="20" t="s">
        <v>1184</v>
      </c>
      <c r="F33" s="20" t="s">
        <v>445</v>
      </c>
      <c r="G33" s="20" t="s">
        <v>1185</v>
      </c>
      <c r="H33" s="20" t="s">
        <v>58</v>
      </c>
      <c r="I33" s="20" t="s">
        <v>1183</v>
      </c>
      <c r="J33" s="20" t="s">
        <v>59</v>
      </c>
      <c r="K33" s="21">
        <v>36902</v>
      </c>
      <c r="L33" s="20" t="s">
        <v>162</v>
      </c>
      <c r="M33" s="20" t="s">
        <v>327</v>
      </c>
      <c r="N33" s="20" t="s">
        <v>60</v>
      </c>
      <c r="O33" s="20" t="s">
        <v>389</v>
      </c>
      <c r="P33" s="20" t="s">
        <v>390</v>
      </c>
      <c r="Q33" s="20" t="s">
        <v>135</v>
      </c>
      <c r="R33" s="20" t="s">
        <v>63</v>
      </c>
      <c r="S33" s="20" t="s">
        <v>64</v>
      </c>
      <c r="T33" s="20" t="s">
        <v>1186</v>
      </c>
      <c r="U33" s="21">
        <v>45720</v>
      </c>
      <c r="V33" s="56"/>
      <c r="W33" s="20"/>
      <c r="X33" s="27">
        <v>30</v>
      </c>
      <c r="Y33" s="29">
        <v>1130</v>
      </c>
      <c r="Z33" s="27">
        <v>1130</v>
      </c>
      <c r="AA33" s="20">
        <v>565</v>
      </c>
      <c r="AB33" s="27">
        <v>96.06</v>
      </c>
      <c r="AC33" s="20"/>
      <c r="AD33" s="27"/>
      <c r="AE33" s="28">
        <v>1791.06</v>
      </c>
      <c r="AF33" s="27"/>
      <c r="AG33" s="20"/>
      <c r="AH33" s="27">
        <v>96.06</v>
      </c>
      <c r="AI33" s="28">
        <v>96.06</v>
      </c>
      <c r="AJ33" s="28">
        <v>1695</v>
      </c>
    </row>
    <row r="34" spans="1:36" s="44" customFormat="1" ht="14.5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57"/>
      <c r="W34" s="24"/>
      <c r="X34" s="34">
        <f t="shared" ref="X34:AI34" si="0">SUM(X8:X33)</f>
        <v>731</v>
      </c>
      <c r="Y34" s="35">
        <f t="shared" si="0"/>
        <v>31260</v>
      </c>
      <c r="Z34" s="34">
        <f t="shared" si="0"/>
        <v>29414.34</v>
      </c>
      <c r="AA34" s="34">
        <f t="shared" si="0"/>
        <v>1876.6599999999999</v>
      </c>
      <c r="AB34" s="34">
        <f t="shared" si="0"/>
        <v>1440.8999999999994</v>
      </c>
      <c r="AC34" s="34">
        <f t="shared" si="0"/>
        <v>200</v>
      </c>
      <c r="AD34" s="34">
        <f t="shared" si="0"/>
        <v>2694.5</v>
      </c>
      <c r="AE34" s="34">
        <f t="shared" si="0"/>
        <v>35626.400000000001</v>
      </c>
      <c r="AF34" s="34">
        <f t="shared" si="0"/>
        <v>2694.5</v>
      </c>
      <c r="AG34" s="34">
        <f t="shared" si="0"/>
        <v>200</v>
      </c>
      <c r="AH34" s="34">
        <f t="shared" si="0"/>
        <v>1440.8999999999994</v>
      </c>
      <c r="AI34" s="34">
        <f t="shared" si="0"/>
        <v>4335.4000000000015</v>
      </c>
      <c r="AJ34" s="34">
        <f>SUM(AJ8:AJ33)</f>
        <v>31291</v>
      </c>
    </row>
    <row r="35" spans="1:36" ht="13.5" thickBot="1" x14ac:dyDescent="0.35">
      <c r="Q35" s="17"/>
    </row>
    <row r="36" spans="1:36" ht="13.5" customHeight="1" thickBot="1" x14ac:dyDescent="0.35">
      <c r="C36" s="80" t="s">
        <v>89</v>
      </c>
      <c r="D36" s="81"/>
      <c r="E36" s="18"/>
      <c r="Q36" s="17"/>
    </row>
    <row r="37" spans="1:36" x14ac:dyDescent="0.3">
      <c r="C37" s="5" t="s">
        <v>90</v>
      </c>
      <c r="D37" s="6"/>
      <c r="E37" s="7">
        <v>25</v>
      </c>
      <c r="Q37" s="17"/>
    </row>
    <row r="38" spans="1:36" x14ac:dyDescent="0.3">
      <c r="C38" s="8" t="s">
        <v>91</v>
      </c>
      <c r="D38" s="9"/>
      <c r="E38" s="10">
        <v>3</v>
      </c>
      <c r="Q38" s="17"/>
      <c r="AE38" s="14" t="s">
        <v>103</v>
      </c>
      <c r="AF38" s="19">
        <f>SUM(AJ8:AJ33)</f>
        <v>31291</v>
      </c>
      <c r="AH38" s="62"/>
    </row>
    <row r="39" spans="1:36" x14ac:dyDescent="0.3">
      <c r="C39" s="8" t="s">
        <v>92</v>
      </c>
      <c r="D39" s="9"/>
      <c r="E39" s="10">
        <v>2</v>
      </c>
      <c r="Q39" s="17"/>
      <c r="AE39" s="15" t="s">
        <v>96</v>
      </c>
      <c r="AF39" s="19">
        <v>0</v>
      </c>
    </row>
    <row r="40" spans="1:36" x14ac:dyDescent="0.3">
      <c r="C40" s="8" t="s">
        <v>93</v>
      </c>
      <c r="D40" s="9"/>
      <c r="E40" s="10"/>
      <c r="Q40" s="17"/>
      <c r="AF40" s="48">
        <f>AF38+AF39</f>
        <v>31291</v>
      </c>
    </row>
    <row r="41" spans="1:36" x14ac:dyDescent="0.3">
      <c r="C41" s="8" t="s">
        <v>94</v>
      </c>
      <c r="D41" s="9"/>
      <c r="E41" s="10"/>
    </row>
    <row r="42" spans="1:36" ht="13.5" thickBot="1" x14ac:dyDescent="0.35">
      <c r="C42" s="11" t="s">
        <v>95</v>
      </c>
      <c r="D42" s="12"/>
      <c r="E42" s="13">
        <f>+E37+E38-E39+E40-E41</f>
        <v>26</v>
      </c>
      <c r="AF42" s="62"/>
    </row>
  </sheetData>
  <autoFilter ref="A7:AJ34" xr:uid="{D2E4E92D-44CB-47EF-A8C7-1FFE56F5EB4B}"/>
  <mergeCells count="1">
    <mergeCell ref="C36:D36"/>
  </mergeCells>
  <pageMargins left="0.7" right="0.7" top="0.75" bottom="0.75" header="0.3" footer="0.3"/>
  <pageSetup orientation="portrait" horizont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4DD192BD246E4C8CF546502EE6DB75" ma:contentTypeVersion="19" ma:contentTypeDescription="Crear nuevo documento." ma:contentTypeScope="" ma:versionID="0858f973dd5fb788f96766b17af1c7ca">
  <xsd:schema xmlns:xsd="http://www.w3.org/2001/XMLSchema" xmlns:xs="http://www.w3.org/2001/XMLSchema" xmlns:p="http://schemas.microsoft.com/office/2006/metadata/properties" xmlns:ns2="b7c6eafc-7d12-41dd-9be1-0a94e4190535" xmlns:ns3="a4ddeba7-b704-4ecc-adcd-5e003fb65ef3" xmlns:ns4="6e83e254-8e92-469a-92ff-1764cfa2436f" targetNamespace="http://schemas.microsoft.com/office/2006/metadata/properties" ma:root="true" ma:fieldsID="474d0f4a1e655ba35442349c25edff9a" ns2:_="" ns3:_="" ns4:_="">
    <xsd:import namespace="b7c6eafc-7d12-41dd-9be1-0a94e4190535"/>
    <xsd:import namespace="a4ddeba7-b704-4ecc-adcd-5e003fb65ef3"/>
    <xsd:import namespace="6e83e254-8e92-469a-92ff-1764cfa24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6eafc-7d12-41dd-9be1-0a94e41905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deba7-b704-4ecc-adcd-5e003fb65ef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3e254-8e92-469a-92ff-1764cfa2436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69794e42-65c8-4d51-b281-04e80a2b6c05}" ma:internalName="TaxCatchAll" ma:showField="CatchAllData" ma:web="6e83e254-8e92-469a-92ff-1764cfa24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83e254-8e92-469a-92ff-1764cfa2436f" xsi:nil="true"/>
  </documentManagement>
</p:properties>
</file>

<file path=customXml/itemProps1.xml><?xml version="1.0" encoding="utf-8"?>
<ds:datastoreItem xmlns:ds="http://schemas.openxmlformats.org/officeDocument/2006/customXml" ds:itemID="{01645B0B-C47A-49F1-8C76-9F28165CE4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0B91D1-DF4A-4002-A70E-1E4D5ED4A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6eafc-7d12-41dd-9be1-0a94e4190535"/>
    <ds:schemaRef ds:uri="a4ddeba7-b704-4ecc-adcd-5e003fb65ef3"/>
    <ds:schemaRef ds:uri="6e83e254-8e92-469a-92ff-1764cfa24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32E0BC-4D31-430E-AC62-1468AC7E9D8E}">
  <ds:schemaRefs>
    <ds:schemaRef ds:uri="http://schemas.microsoft.com/office/2006/metadata/properties"/>
    <ds:schemaRef ds:uri="http://schemas.microsoft.com/office/infopath/2007/PartnerControls"/>
    <ds:schemaRef ds:uri="6e83e254-8e92-469a-92ff-1764cfa243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Practicantes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Zarzosa Rodriguez</dc:creator>
  <cp:lastModifiedBy>Sissy Ospina</cp:lastModifiedBy>
  <dcterms:created xsi:type="dcterms:W3CDTF">2022-08-26T18:21:13Z</dcterms:created>
  <dcterms:modified xsi:type="dcterms:W3CDTF">2025-10-16T04:18:24Z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0x010100114DD192BD246E4C8CF546502EE6DB75</vt:lpwstr>
  </property>
</Properties>
</file>